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"/>
    </mc:Choice>
  </mc:AlternateContent>
  <xr:revisionPtr revIDLastSave="0" documentId="13_ncr:1_{B72C9A99-1A30-4355-A791-2F72B5376F74}" xr6:coauthVersionLast="47" xr6:coauthVersionMax="47" xr10:uidLastSave="{00000000-0000-0000-0000-000000000000}"/>
  <bookViews>
    <workbookView xWindow="-110" yWindow="-110" windowWidth="19420" windowHeight="10300" xr2:uid="{84AA6E8F-F48B-4887-9B28-585C3D0E0805}"/>
  </bookViews>
  <sheets>
    <sheet name="Sheet1" sheetId="1" r:id="rId1"/>
  </sheets>
  <definedNames>
    <definedName name="_xlnm._FilterDatabase" localSheetId="0" hidden="1">Sheet1!$A$2:$I$178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7" i="1" l="1"/>
  <c r="H175" i="1"/>
  <c r="H166" i="1"/>
  <c r="H164" i="1"/>
  <c r="H163" i="1"/>
  <c r="H154" i="1"/>
  <c r="H155" i="1"/>
  <c r="H156" i="1"/>
  <c r="H157" i="1"/>
  <c r="H158" i="1"/>
  <c r="H159" i="1"/>
  <c r="H160" i="1"/>
  <c r="H161" i="1"/>
  <c r="H136" i="1"/>
  <c r="H137" i="1"/>
  <c r="H138" i="1"/>
  <c r="H139" i="1"/>
  <c r="H140" i="1"/>
  <c r="H141" i="1"/>
  <c r="H142" i="1"/>
  <c r="H143" i="1"/>
  <c r="H144" i="1"/>
  <c r="H145" i="1"/>
  <c r="H146" i="1"/>
  <c r="H135" i="1"/>
  <c r="H121" i="1"/>
  <c r="H122" i="1"/>
  <c r="H123" i="1"/>
  <c r="H120" i="1"/>
  <c r="H62" i="1"/>
  <c r="H134" i="1"/>
  <c r="H165" i="1"/>
  <c r="H41" i="1"/>
  <c r="H77" i="1"/>
  <c r="H114" i="1"/>
  <c r="H111" i="1"/>
  <c r="H67" i="1"/>
  <c r="H40" i="1"/>
  <c r="H4" i="1"/>
  <c r="H55" i="1"/>
  <c r="H28" i="1"/>
  <c r="H147" i="1"/>
  <c r="H85" i="1"/>
  <c r="H73" i="1"/>
  <c r="H75" i="1"/>
  <c r="H162" i="1"/>
  <c r="H82" i="1"/>
  <c r="H81" i="1"/>
  <c r="H72" i="1"/>
  <c r="H83" i="1"/>
  <c r="H70" i="1"/>
  <c r="H91" i="1"/>
  <c r="H56" i="1"/>
  <c r="H74" i="1"/>
  <c r="H93" i="1"/>
  <c r="H92" i="1"/>
  <c r="H90" i="1"/>
  <c r="H89" i="1"/>
  <c r="H176" i="1"/>
  <c r="H76" i="1"/>
  <c r="H69" i="1"/>
  <c r="H88" i="1"/>
  <c r="H84" i="1"/>
  <c r="H87" i="1"/>
  <c r="H98" i="1"/>
  <c r="H86" i="1"/>
  <c r="H97" i="1"/>
  <c r="H96" i="1"/>
  <c r="H95" i="1"/>
  <c r="H80" i="1"/>
  <c r="H71" i="1"/>
  <c r="H94" i="1"/>
  <c r="H79" i="1"/>
  <c r="H78" i="1"/>
  <c r="H29" i="1"/>
  <c r="H119" i="1"/>
  <c r="H108" i="1"/>
  <c r="H116" i="1"/>
  <c r="H117" i="1"/>
  <c r="H110" i="1"/>
  <c r="H113" i="1"/>
  <c r="H54" i="1"/>
  <c r="H112" i="1"/>
  <c r="H39" i="1"/>
  <c r="H150" i="1"/>
  <c r="H118" i="1"/>
  <c r="H52" i="1"/>
  <c r="H109" i="1"/>
  <c r="H103" i="1"/>
  <c r="H100" i="1"/>
  <c r="H35" i="1"/>
  <c r="H107" i="1"/>
  <c r="H99" i="1"/>
  <c r="H53" i="1"/>
  <c r="H51" i="1"/>
  <c r="H64" i="1"/>
  <c r="H34" i="1"/>
  <c r="H37" i="1"/>
  <c r="H33" i="1"/>
  <c r="H38" i="1"/>
  <c r="H152" i="1"/>
  <c r="H149" i="1"/>
  <c r="H148" i="1"/>
  <c r="H102" i="1"/>
  <c r="H101" i="1"/>
  <c r="H106" i="1"/>
  <c r="H42" i="1"/>
  <c r="H151" i="1"/>
  <c r="H115" i="1"/>
  <c r="H36" i="1"/>
  <c r="H153" i="1"/>
  <c r="H105" i="1"/>
  <c r="H104" i="1"/>
  <c r="H66" i="1"/>
  <c r="H65" i="1"/>
  <c r="H6" i="1"/>
  <c r="H63" i="1"/>
  <c r="H46" i="1"/>
  <c r="H45" i="1"/>
  <c r="H48" i="1"/>
  <c r="H47" i="1"/>
  <c r="H44" i="1"/>
  <c r="H43" i="1"/>
  <c r="H68" i="1"/>
  <c r="H5" i="1"/>
  <c r="H50" i="1"/>
  <c r="H7" i="1"/>
  <c r="H49" i="1"/>
  <c r="H25" i="1"/>
  <c r="H24" i="1"/>
  <c r="H31" i="1"/>
  <c r="H30" i="1"/>
  <c r="H3" i="1"/>
  <c r="H20" i="1"/>
  <c r="H19" i="1"/>
  <c r="H8" i="1"/>
  <c r="H18" i="1"/>
  <c r="H17" i="1"/>
  <c r="H16" i="1"/>
  <c r="H15" i="1"/>
  <c r="H14" i="1"/>
  <c r="H11" i="1"/>
  <c r="H12" i="1"/>
  <c r="H10" i="1"/>
  <c r="H23" i="1"/>
  <c r="H22" i="1"/>
  <c r="H21" i="1"/>
  <c r="H26" i="1"/>
  <c r="H27" i="1"/>
  <c r="H32" i="1"/>
  <c r="H13" i="1"/>
  <c r="H9" i="1"/>
  <c r="H174" i="1"/>
  <c r="H173" i="1"/>
  <c r="H172" i="1"/>
  <c r="H61" i="1"/>
  <c r="H171" i="1"/>
  <c r="H60" i="1"/>
  <c r="H170" i="1"/>
  <c r="H169" i="1"/>
  <c r="H168" i="1"/>
  <c r="H167" i="1"/>
  <c r="H59" i="1"/>
  <c r="H58" i="1"/>
  <c r="H57" i="1"/>
  <c r="H133" i="1"/>
  <c r="H132" i="1"/>
  <c r="H131" i="1"/>
  <c r="H130" i="1"/>
  <c r="H129" i="1"/>
  <c r="H128" i="1"/>
  <c r="H127" i="1"/>
  <c r="H126" i="1"/>
  <c r="H125" i="1"/>
  <c r="H1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HomePC</author>
  </authors>
  <commentList>
    <comment ref="B154" authorId="0" shapeId="0" xr:uid="{415A9696-0B62-4065-8505-636FD59E528E}">
      <text>
        <r>
          <rPr>
            <b/>
            <sz val="9"/>
            <color indexed="81"/>
            <rFont val="Tahoma"/>
            <charset val="1"/>
          </rPr>
          <t>HomePC:</t>
        </r>
        <r>
          <rPr>
            <sz val="9"/>
            <color indexed="81"/>
            <rFont val="Tahoma"/>
            <charset val="1"/>
          </rPr>
          <t xml:space="preserve">
SP</t>
        </r>
      </text>
    </comment>
  </commentList>
</comments>
</file>

<file path=xl/sharedStrings.xml><?xml version="1.0" encoding="utf-8"?>
<sst xmlns="http://schemas.openxmlformats.org/spreadsheetml/2006/main" count="884" uniqueCount="213">
  <si>
    <t>KG</t>
  </si>
  <si>
    <t>M/S Plate 8' X 4' X 3Mm</t>
  </si>
  <si>
    <t>PCS</t>
  </si>
  <si>
    <t>sfcandb3mm</t>
  </si>
  <si>
    <t>SFCATHDNOX</t>
  </si>
  <si>
    <t>SF185MMX3CTNDISC</t>
  </si>
  <si>
    <t>M/S I-Beam 120Mm X 64Mm X 6M</t>
  </si>
  <si>
    <t>M/S Welding Rods 3.2Mm</t>
  </si>
  <si>
    <t>SF70MMHCB3MMA</t>
  </si>
  <si>
    <t>SFCHASSSPBR3MM/95MM</t>
  </si>
  <si>
    <t>White Spirit</t>
  </si>
  <si>
    <t>LTR</t>
  </si>
  <si>
    <t>cypress smooth 3 x 11/2 x 81/2ft</t>
  </si>
  <si>
    <t>Cypress 2 x 1 1/2 x 7 1/2ft</t>
  </si>
  <si>
    <t>cypress smooth 3 x 11/2 x 7ft</t>
  </si>
  <si>
    <t>Cypress smooth 2'' x 1 1/2'' x 7 1/2ft</t>
  </si>
  <si>
    <t>SFPOLFOAMRF5237</t>
  </si>
  <si>
    <t>SFPOLFOAMRF5237/4-25B</t>
  </si>
  <si>
    <t>Sanding Discs</t>
  </si>
  <si>
    <t>sfcab4mm</t>
  </si>
  <si>
    <t>MDF White melamine finish 8' x 4' x 18mm</t>
  </si>
  <si>
    <t>Floshyne Polish</t>
  </si>
  <si>
    <t>Brushes 3"( Green Tip )</t>
  </si>
  <si>
    <t>Masking Tape 1"</t>
  </si>
  <si>
    <t>SFPC1KG</t>
  </si>
  <si>
    <t>Plastic Container 1Kg</t>
  </si>
  <si>
    <t>Cypress smooth 2" x 2" x 7.5ft</t>
  </si>
  <si>
    <t>Local Washer 40mm x 4mm(3/8 hole)</t>
  </si>
  <si>
    <t>M/S Nuts &amp; Bolts 3/8 X 3"</t>
  </si>
  <si>
    <t>NAIL-3"</t>
  </si>
  <si>
    <t>Washers 3/8 Spring</t>
  </si>
  <si>
    <t>Wood screws m/s 1 1/2 X 10G</t>
  </si>
  <si>
    <t>SF(OR-PLY)1/2"</t>
  </si>
  <si>
    <t>Ordinary Plywood 4' X 8' X 1/2" 12Mm</t>
  </si>
  <si>
    <t>SHEETS</t>
  </si>
  <si>
    <t>SFPOLYS2"</t>
  </si>
  <si>
    <t>Polystyrene 2"</t>
  </si>
  <si>
    <t>sfcbnd2</t>
  </si>
  <si>
    <t>Pop Rivets 3/16 X 3/4</t>
  </si>
  <si>
    <t>Pop Rivets 3/16 X 1/2</t>
  </si>
  <si>
    <t>Reflectors(Red Round Reflectors)</t>
  </si>
  <si>
    <t>PAIRS</t>
  </si>
  <si>
    <t>Reflectors Strip(Yellow)</t>
  </si>
  <si>
    <t>SFALMPL05122</t>
  </si>
  <si>
    <t>Aluminium Angle 2'' X 2'' X (6Mtr) (05122)</t>
  </si>
  <si>
    <t>MTRS</t>
  </si>
  <si>
    <t>SFCHNS2X1</t>
  </si>
  <si>
    <t>Chevrons 2X1</t>
  </si>
  <si>
    <t>SFCTDSC115MM</t>
  </si>
  <si>
    <t>SFREFLECTORWHITER</t>
  </si>
  <si>
    <t>Reflectors(White Round Reflectors)</t>
  </si>
  <si>
    <t>Silicone Tubes(White)</t>
  </si>
  <si>
    <t>Cypress smooth 3"x1"x71/2ft</t>
  </si>
  <si>
    <t>Angle 1" X 1" X 1/8" (25Mmx25Mmx3Mm)</t>
  </si>
  <si>
    <t>M/S Nuts &amp; Bolts 1/4 X 1</t>
  </si>
  <si>
    <t>SFRBRINS3MM</t>
  </si>
  <si>
    <t>Washers 1/4 Spring</t>
  </si>
  <si>
    <t>Door seal rubber 83mm</t>
  </si>
  <si>
    <t>M/S Nuts &amp; Bolts 5/16 X 1 1/2</t>
  </si>
  <si>
    <t>Imported Large Door Hinges (01116)</t>
  </si>
  <si>
    <t>Door Retainer (02421+02422)</t>
  </si>
  <si>
    <t>Aluminium flat bar 3/4"x 1/8"</t>
  </si>
  <si>
    <t>Galvanized Tube 27mm</t>
  </si>
  <si>
    <t>Loctite Super Glue</t>
  </si>
  <si>
    <t>Imported Locking Gear (372852)</t>
  </si>
  <si>
    <t>machine screw 5/16x11/2</t>
  </si>
  <si>
    <t>SFSURGLOVES</t>
  </si>
  <si>
    <t>Surgical Gloves</t>
  </si>
  <si>
    <t>SFP3/4</t>
  </si>
  <si>
    <t>Penny Washers 3/8 Flat</t>
  </si>
  <si>
    <t>Threaded Rods 3/8</t>
  </si>
  <si>
    <t>Threaded rods 5/16</t>
  </si>
  <si>
    <t>Penny Washers 5/16 Flat</t>
  </si>
  <si>
    <t>Emery Paper No 1000</t>
  </si>
  <si>
    <t>Emery Paper No 1200</t>
  </si>
  <si>
    <t>Emery Paper No 600</t>
  </si>
  <si>
    <t>Emery Paper No 800</t>
  </si>
  <si>
    <t>sf250mmx68mm</t>
  </si>
  <si>
    <t>Channels 250mmx215mmx68mm</t>
  </si>
  <si>
    <t>SFCHANEL400</t>
  </si>
  <si>
    <t>Channels 400MM X 135MM X 60MM</t>
  </si>
  <si>
    <t>Sliding plate 180mmx330mm</t>
  </si>
  <si>
    <t>Cypress smooth 21/2"x1x18ft</t>
  </si>
  <si>
    <t>Emery Paper No 2000</t>
  </si>
  <si>
    <t>Emery Paper No 2500</t>
  </si>
  <si>
    <t>M/S Nuts &amp; Bolts 1/2 X 1 1/2</t>
  </si>
  <si>
    <t>Spring Washers 1/2</t>
  </si>
  <si>
    <t>H/T BOLTS 8MMX11/2</t>
  </si>
  <si>
    <t>Edge Trim Rubber</t>
  </si>
  <si>
    <t>Nc Auto Standard Thinner</t>
  </si>
  <si>
    <t>Semi Matt Black</t>
  </si>
  <si>
    <t>Step 08602</t>
  </si>
  <si>
    <t>Box Section 1" X 1" X 2Mm</t>
  </si>
  <si>
    <t>Washer Spring 5/8</t>
  </si>
  <si>
    <t>U bolt 16 1/4'' x 2 7/8'' x 3''(thread) 16mm dia</t>
  </si>
  <si>
    <t>Silicone Tubes(Clear)</t>
  </si>
  <si>
    <t>M/S Nuts &amp; Bolts 3/8 X 1 1/2</t>
  </si>
  <si>
    <t>Hi-Gloss Thinner</t>
  </si>
  <si>
    <t>G3 Compound Paste</t>
  </si>
  <si>
    <t xml:space="preserve"> </t>
  </si>
  <si>
    <t>PRODUCT NAME</t>
  </si>
  <si>
    <t>U.O.M</t>
  </si>
  <si>
    <t>QUANTITY</t>
  </si>
  <si>
    <t>CATEGORY</t>
  </si>
  <si>
    <t>ITEM CODE</t>
  </si>
  <si>
    <t xml:space="preserve">Catalyst </t>
  </si>
  <si>
    <t xml:space="preserve">Resin </t>
  </si>
  <si>
    <t>Mat 980</t>
  </si>
  <si>
    <t>Cutting Disc 7"</t>
  </si>
  <si>
    <t>Zinc  Primer 4Ltr Can</t>
  </si>
  <si>
    <t>C&amp;B 3mm sheet</t>
  </si>
  <si>
    <t>CURRENCY</t>
  </si>
  <si>
    <t xml:space="preserve"> USD</t>
  </si>
  <si>
    <t>IMPORT</t>
  </si>
  <si>
    <t>PMRESIMP</t>
  </si>
  <si>
    <t>White Coat</t>
  </si>
  <si>
    <t>PMWCIMP</t>
  </si>
  <si>
    <t>USD</t>
  </si>
  <si>
    <t>LOCAL</t>
  </si>
  <si>
    <t>Grey Coat</t>
  </si>
  <si>
    <t>PMGCIMP</t>
  </si>
  <si>
    <t>Catalyst</t>
  </si>
  <si>
    <t>Cutting Disc 4.5</t>
  </si>
  <si>
    <t>Rubber mud guard 3mm</t>
  </si>
  <si>
    <t>Chassis Support Brackets s</t>
  </si>
  <si>
    <t>Chassis Support Brackets b</t>
  </si>
  <si>
    <t>C&amp;B 4mm sheet</t>
  </si>
  <si>
    <t>C&amp;B 2</t>
  </si>
  <si>
    <t>PMFPOC</t>
  </si>
  <si>
    <t>PMBRLOC</t>
  </si>
  <si>
    <t>PMANG18LOC</t>
  </si>
  <si>
    <t>PMLHLOC</t>
  </si>
  <si>
    <t>PMFLAT34LOC</t>
  </si>
  <si>
    <t>PMGEALOC</t>
  </si>
  <si>
    <t>PMM1000LOC</t>
  </si>
  <si>
    <t>PM1200LOC</t>
  </si>
  <si>
    <t>PM600LOC</t>
  </si>
  <si>
    <t>PM800LOC</t>
  </si>
  <si>
    <t>PM2000LOC</t>
  </si>
  <si>
    <t>PM2500LOC</t>
  </si>
  <si>
    <t>PMBLT8LOC</t>
  </si>
  <si>
    <t>PMBOX12LOC</t>
  </si>
  <si>
    <t>PMGLOSSLOC</t>
  </si>
  <si>
    <t>PMG3LOC</t>
  </si>
  <si>
    <t>PMTHINLOC</t>
  </si>
  <si>
    <t>KES</t>
  </si>
  <si>
    <t>PM980IMP</t>
  </si>
  <si>
    <t>PMCYPSMLOC</t>
  </si>
  <si>
    <t>PMCYP115LOC</t>
  </si>
  <si>
    <t>PMDENSLOC</t>
  </si>
  <si>
    <t>Foam A</t>
  </si>
  <si>
    <t>Foam B</t>
  </si>
  <si>
    <t>High density foam 10MM</t>
  </si>
  <si>
    <t>PMFOALOC</t>
  </si>
  <si>
    <t>PMFOBLOC</t>
  </si>
  <si>
    <t>PMDFLOC</t>
  </si>
  <si>
    <t>PMCONT</t>
  </si>
  <si>
    <t>PMNAILOC</t>
  </si>
  <si>
    <t>PMRED</t>
  </si>
  <si>
    <t>PMPOP12</t>
  </si>
  <si>
    <t>PMPOP34</t>
  </si>
  <si>
    <t>PMDRC</t>
  </si>
  <si>
    <t>PMPOP24</t>
  </si>
  <si>
    <t>PMSTUBES</t>
  </si>
  <si>
    <t>PMFETRMBLK</t>
  </si>
  <si>
    <t>PMNCAUTOTN</t>
  </si>
  <si>
    <t>PMSILNTC</t>
  </si>
  <si>
    <t>PM21/2X1X20.5FT</t>
  </si>
  <si>
    <t>PMWASHER5/16F</t>
  </si>
  <si>
    <t>PMFPLATE180X330</t>
  </si>
  <si>
    <t>PMF8UQW9</t>
  </si>
  <si>
    <t>PMBNI8</t>
  </si>
  <si>
    <t>COST</t>
  </si>
  <si>
    <t>PRODUCTION COST</t>
  </si>
  <si>
    <t>EURO</t>
  </si>
  <si>
    <t xml:space="preserve">Compressor </t>
  </si>
  <si>
    <t>Refridgeration unit</t>
  </si>
  <si>
    <t>PMREF</t>
  </si>
  <si>
    <t>PMCOMP</t>
  </si>
  <si>
    <t>PMM/S8X4X3MM</t>
  </si>
  <si>
    <t>PM300IMP</t>
  </si>
  <si>
    <t>Mat 400</t>
  </si>
  <si>
    <t>PMFMTAPE</t>
  </si>
  <si>
    <t>PMSEMIMMB</t>
  </si>
  <si>
    <t>PMGAL V</t>
  </si>
  <si>
    <t>PM1/4X1"</t>
  </si>
  <si>
    <t>PM5/16</t>
  </si>
  <si>
    <t>PMFLCKSPGT</t>
  </si>
  <si>
    <t>PMFT(ROD)3/8</t>
  </si>
  <si>
    <t>PMT(ROD)5/16</t>
  </si>
  <si>
    <t>PMACHSCRE</t>
  </si>
  <si>
    <t>PMWELD</t>
  </si>
  <si>
    <t>PMF08602</t>
  </si>
  <si>
    <t>PMUBOLT</t>
  </si>
  <si>
    <t>PMSPRING</t>
  </si>
  <si>
    <t>PMBOLT38</t>
  </si>
  <si>
    <t>PMBOLT12</t>
  </si>
  <si>
    <t>PMUBOLT14</t>
  </si>
  <si>
    <t>PMLOCLW</t>
  </si>
  <si>
    <t>PMSN&amp;B3/8X3"</t>
  </si>
  <si>
    <t>PMSCREW</t>
  </si>
  <si>
    <t>PMFIB64MM</t>
  </si>
  <si>
    <t>Resin LOC</t>
  </si>
  <si>
    <t>PMRESNLOC</t>
  </si>
  <si>
    <t>PMSANDDISC</t>
  </si>
  <si>
    <t>PMSURGLOVES</t>
  </si>
  <si>
    <t>PMFWS5/8</t>
  </si>
  <si>
    <t>PMWS5/8</t>
  </si>
  <si>
    <t>PMFWASHER1/4F</t>
  </si>
  <si>
    <t>PMFWASHER3/8S</t>
  </si>
  <si>
    <t>PMFZINEPPRIMER</t>
  </si>
  <si>
    <t>PMSFHSPRT</t>
  </si>
  <si>
    <t xml:space="preserve">U bolt + nut 14 1/2'' x 3'' x 3''(thread) 16mm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</si>
</sst>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8835-15A5-4C3D-AF1D-B3360248F6BE}">
  <dimension ref="A2:I178"/>
  <sheetViews>
    <sheetView tabSelected="1" workbookViewId="0">
      <selection activeCell="H2" sqref="H2"/>
    </sheetView>
  </sheetViews>
  <sheetFormatPr defaultRowHeight="14.5" x14ac:dyDescent="0.35"/>
  <cols>
    <col min="2" max="2" width="28.36328125" customWidth="1"/>
    <col min="3" max="3" width="42" customWidth="1"/>
    <col min="4" max="4" width="14.54296875" style="3" customWidth="1"/>
    <col min="5" max="5" width="13" style="2" customWidth="1"/>
    <col min="6" max="7" width="8.7265625" style="2"/>
    <col min="8" max="8" width="17.54296875" style="1" customWidth="1"/>
    <col min="9" max="9" width="13.1796875" style="1" customWidth="1"/>
  </cols>
  <sheetData>
    <row r="2" spans="2:9" x14ac:dyDescent="0.35">
      <c r="B2" s="8" t="s">
        <v>104</v>
      </c>
      <c r="C2" s="8" t="s">
        <v>100</v>
      </c>
      <c r="D2" s="9" t="s">
        <v>103</v>
      </c>
      <c r="E2" s="10" t="s">
        <v>102</v>
      </c>
      <c r="F2" s="10" t="s">
        <v>101</v>
      </c>
      <c r="G2" s="10" t="s">
        <v>172</v>
      </c>
      <c r="H2" s="11" t="s">
        <v>173</v>
      </c>
      <c r="I2" s="11" t="s">
        <v>111</v>
      </c>
    </row>
    <row r="3" spans="2:9" x14ac:dyDescent="0.35">
      <c r="B3" s="4" t="s">
        <v>43</v>
      </c>
      <c r="C3" s="4" t="s">
        <v>44</v>
      </c>
      <c r="D3" s="5" t="s">
        <v>118</v>
      </c>
      <c r="E3" s="6">
        <v>29</v>
      </c>
      <c r="F3" s="6" t="s">
        <v>45</v>
      </c>
      <c r="G3" s="6">
        <v>1245.8699999999999</v>
      </c>
      <c r="H3" s="7">
        <f>G3*E3</f>
        <v>36130.229999999996</v>
      </c>
      <c r="I3" s="7" t="s">
        <v>145</v>
      </c>
    </row>
    <row r="4" spans="2:9" x14ac:dyDescent="0.35">
      <c r="B4" s="4" t="s">
        <v>132</v>
      </c>
      <c r="C4" s="4" t="s">
        <v>61</v>
      </c>
      <c r="D4" s="5" t="s">
        <v>118</v>
      </c>
      <c r="E4" s="6">
        <v>1</v>
      </c>
      <c r="F4" s="6" t="s">
        <v>2</v>
      </c>
      <c r="G4" s="6">
        <v>476</v>
      </c>
      <c r="H4" s="7">
        <f>G4*E4</f>
        <v>476</v>
      </c>
      <c r="I4" s="7" t="s">
        <v>145</v>
      </c>
    </row>
    <row r="5" spans="2:9" x14ac:dyDescent="0.35">
      <c r="B5" s="4" t="s">
        <v>130</v>
      </c>
      <c r="C5" s="4" t="s">
        <v>53</v>
      </c>
      <c r="D5" s="5" t="s">
        <v>118</v>
      </c>
      <c r="E5" s="6">
        <v>1</v>
      </c>
      <c r="F5" s="6" t="s">
        <v>2</v>
      </c>
      <c r="G5" s="6">
        <v>678.76</v>
      </c>
      <c r="H5" s="7">
        <f>E5*G5</f>
        <v>678.76</v>
      </c>
      <c r="I5" s="7" t="s">
        <v>145</v>
      </c>
    </row>
    <row r="6" spans="2:9" x14ac:dyDescent="0.35">
      <c r="B6" s="4" t="s">
        <v>141</v>
      </c>
      <c r="C6" s="4" t="s">
        <v>92</v>
      </c>
      <c r="D6" s="5" t="s">
        <v>118</v>
      </c>
      <c r="E6" s="6">
        <v>1</v>
      </c>
      <c r="F6" s="6" t="s">
        <v>2</v>
      </c>
      <c r="G6" s="6">
        <v>876.87</v>
      </c>
      <c r="H6" s="7">
        <f>E6*G6</f>
        <v>876.87</v>
      </c>
      <c r="I6" s="7" t="s">
        <v>145</v>
      </c>
    </row>
    <row r="7" spans="2:9" x14ac:dyDescent="0.35">
      <c r="B7" s="4" t="s">
        <v>129</v>
      </c>
      <c r="C7" s="4" t="s">
        <v>22</v>
      </c>
      <c r="D7" s="5" t="s">
        <v>118</v>
      </c>
      <c r="E7" s="6">
        <v>1</v>
      </c>
      <c r="F7" s="6" t="s">
        <v>2</v>
      </c>
      <c r="G7" s="6">
        <v>112</v>
      </c>
      <c r="H7" s="7">
        <f>E7*G7</f>
        <v>112</v>
      </c>
      <c r="I7" s="7" t="s">
        <v>145</v>
      </c>
    </row>
    <row r="8" spans="2:9" x14ac:dyDescent="0.35">
      <c r="B8" s="4" t="s">
        <v>37</v>
      </c>
      <c r="C8" s="4" t="s">
        <v>127</v>
      </c>
      <c r="D8" s="5" t="s">
        <v>118</v>
      </c>
      <c r="E8" s="6">
        <v>11</v>
      </c>
      <c r="F8" s="6" t="s">
        <v>2</v>
      </c>
      <c r="G8" s="6">
        <v>10</v>
      </c>
      <c r="H8" s="7">
        <f>G8*E8</f>
        <v>110</v>
      </c>
      <c r="I8" s="7" t="s">
        <v>145</v>
      </c>
    </row>
    <row r="9" spans="2:9" x14ac:dyDescent="0.35">
      <c r="B9" s="4" t="s">
        <v>3</v>
      </c>
      <c r="C9" s="4" t="s">
        <v>110</v>
      </c>
      <c r="D9" s="5" t="s">
        <v>118</v>
      </c>
      <c r="E9" s="6">
        <v>32</v>
      </c>
      <c r="F9" s="6" t="s">
        <v>2</v>
      </c>
      <c r="G9" s="6">
        <v>15</v>
      </c>
      <c r="H9" s="7">
        <f>G9*E9</f>
        <v>480</v>
      </c>
      <c r="I9" s="7" t="s">
        <v>145</v>
      </c>
    </row>
    <row r="10" spans="2:9" x14ac:dyDescent="0.35">
      <c r="B10" s="4" t="s">
        <v>3</v>
      </c>
      <c r="C10" s="4" t="s">
        <v>110</v>
      </c>
      <c r="D10" s="5" t="s">
        <v>118</v>
      </c>
      <c r="E10" s="6">
        <v>36</v>
      </c>
      <c r="F10" s="6" t="s">
        <v>2</v>
      </c>
      <c r="G10" s="6">
        <v>15</v>
      </c>
      <c r="H10" s="7">
        <f>G10*E10</f>
        <v>540</v>
      </c>
      <c r="I10" s="7" t="s">
        <v>145</v>
      </c>
    </row>
    <row r="11" spans="2:9" x14ac:dyDescent="0.35">
      <c r="B11" s="4" t="s">
        <v>3</v>
      </c>
      <c r="C11" s="4" t="s">
        <v>110</v>
      </c>
      <c r="D11" s="5" t="s">
        <v>118</v>
      </c>
      <c r="E11" s="6">
        <v>38</v>
      </c>
      <c r="F11" s="6" t="s">
        <v>2</v>
      </c>
      <c r="G11" s="6">
        <v>15</v>
      </c>
      <c r="H11" s="7">
        <f>G11*E11</f>
        <v>570</v>
      </c>
      <c r="I11" s="7" t="s">
        <v>145</v>
      </c>
    </row>
    <row r="12" spans="2:9" x14ac:dyDescent="0.35">
      <c r="B12" s="4" t="s">
        <v>19</v>
      </c>
      <c r="C12" s="4" t="s">
        <v>126</v>
      </c>
      <c r="D12" s="5" t="s">
        <v>118</v>
      </c>
      <c r="E12" s="6">
        <v>3</v>
      </c>
      <c r="F12" s="6" t="s">
        <v>2</v>
      </c>
      <c r="G12" s="6">
        <v>18</v>
      </c>
      <c r="H12" s="7">
        <f>G12*E12</f>
        <v>54</v>
      </c>
      <c r="I12" s="7" t="s">
        <v>145</v>
      </c>
    </row>
    <row r="13" spans="2:9" x14ac:dyDescent="0.35">
      <c r="B13" s="4" t="s">
        <v>4</v>
      </c>
      <c r="C13" s="4" t="s">
        <v>121</v>
      </c>
      <c r="D13" s="5" t="s">
        <v>113</v>
      </c>
      <c r="E13" s="6">
        <v>1.5</v>
      </c>
      <c r="F13" s="6" t="s">
        <v>0</v>
      </c>
      <c r="G13" s="6">
        <v>11</v>
      </c>
      <c r="H13" s="7">
        <f>G13*E13</f>
        <v>16.5</v>
      </c>
      <c r="I13" s="7" t="s">
        <v>117</v>
      </c>
    </row>
    <row r="14" spans="2:9" x14ac:dyDescent="0.35">
      <c r="B14" s="4" t="s">
        <v>4</v>
      </c>
      <c r="C14" s="4" t="s">
        <v>121</v>
      </c>
      <c r="D14" s="5" t="s">
        <v>113</v>
      </c>
      <c r="E14" s="6">
        <v>0.3</v>
      </c>
      <c r="F14" s="6" t="s">
        <v>0</v>
      </c>
      <c r="G14" s="6">
        <v>11</v>
      </c>
      <c r="H14" s="7">
        <f>G14*E14</f>
        <v>3.3</v>
      </c>
      <c r="I14" s="7" t="s">
        <v>117</v>
      </c>
    </row>
    <row r="15" spans="2:9" x14ac:dyDescent="0.35">
      <c r="B15" s="4" t="s">
        <v>4</v>
      </c>
      <c r="C15" s="4" t="s">
        <v>121</v>
      </c>
      <c r="D15" s="5" t="s">
        <v>113</v>
      </c>
      <c r="E15" s="6">
        <v>0.6</v>
      </c>
      <c r="F15" s="6" t="s">
        <v>0</v>
      </c>
      <c r="G15" s="6">
        <v>11</v>
      </c>
      <c r="H15" s="7">
        <f>G15*E15</f>
        <v>6.6</v>
      </c>
      <c r="I15" s="7" t="s">
        <v>117</v>
      </c>
    </row>
    <row r="16" spans="2:9" x14ac:dyDescent="0.35">
      <c r="B16" s="4" t="s">
        <v>4</v>
      </c>
      <c r="C16" s="4" t="s">
        <v>121</v>
      </c>
      <c r="D16" s="5" t="s">
        <v>113</v>
      </c>
      <c r="E16" s="6">
        <v>0.4</v>
      </c>
      <c r="F16" s="6" t="s">
        <v>0</v>
      </c>
      <c r="G16" s="6">
        <v>11</v>
      </c>
      <c r="H16" s="7">
        <f>G16*E16</f>
        <v>4.4000000000000004</v>
      </c>
      <c r="I16" s="7" t="s">
        <v>117</v>
      </c>
    </row>
    <row r="17" spans="2:9" x14ac:dyDescent="0.35">
      <c r="B17" s="4" t="s">
        <v>4</v>
      </c>
      <c r="C17" s="4" t="s">
        <v>121</v>
      </c>
      <c r="D17" s="5" t="s">
        <v>113</v>
      </c>
      <c r="E17" s="6">
        <v>0.4</v>
      </c>
      <c r="F17" s="6" t="s">
        <v>0</v>
      </c>
      <c r="G17" s="6">
        <v>11</v>
      </c>
      <c r="H17" s="7">
        <f>G17*E17</f>
        <v>4.4000000000000004</v>
      </c>
      <c r="I17" s="7" t="s">
        <v>117</v>
      </c>
    </row>
    <row r="18" spans="2:9" x14ac:dyDescent="0.35">
      <c r="B18" s="4" t="s">
        <v>4</v>
      </c>
      <c r="C18" s="4" t="s">
        <v>121</v>
      </c>
      <c r="D18" s="5" t="s">
        <v>113</v>
      </c>
      <c r="E18" s="6">
        <v>0.6</v>
      </c>
      <c r="F18" s="6" t="s">
        <v>0</v>
      </c>
      <c r="G18" s="6">
        <v>11</v>
      </c>
      <c r="H18" s="7">
        <f>G18*E18</f>
        <v>6.6</v>
      </c>
      <c r="I18" s="7" t="s">
        <v>117</v>
      </c>
    </row>
    <row r="19" spans="2:9" x14ac:dyDescent="0.35">
      <c r="B19" s="4" t="s">
        <v>4</v>
      </c>
      <c r="C19" s="4" t="s">
        <v>121</v>
      </c>
      <c r="D19" s="5" t="s">
        <v>113</v>
      </c>
      <c r="E19" s="6">
        <v>0.2</v>
      </c>
      <c r="F19" s="6" t="s">
        <v>0</v>
      </c>
      <c r="G19" s="6">
        <v>11</v>
      </c>
      <c r="H19" s="7">
        <f>G19*E19</f>
        <v>2.2000000000000002</v>
      </c>
      <c r="I19" s="7" t="s">
        <v>117</v>
      </c>
    </row>
    <row r="20" spans="2:9" x14ac:dyDescent="0.35">
      <c r="B20" s="4" t="s">
        <v>4</v>
      </c>
      <c r="C20" s="4" t="s">
        <v>121</v>
      </c>
      <c r="D20" s="5" t="s">
        <v>113</v>
      </c>
      <c r="E20" s="6">
        <v>0.2</v>
      </c>
      <c r="F20" s="6" t="s">
        <v>0</v>
      </c>
      <c r="G20" s="6">
        <v>11</v>
      </c>
      <c r="H20" s="7">
        <f>G20*E20</f>
        <v>2.2000000000000002</v>
      </c>
      <c r="I20" s="7" t="s">
        <v>117</v>
      </c>
    </row>
    <row r="21" spans="2:9" x14ac:dyDescent="0.35">
      <c r="B21" s="4" t="s">
        <v>4</v>
      </c>
      <c r="C21" s="4" t="s">
        <v>105</v>
      </c>
      <c r="D21" s="5" t="s">
        <v>113</v>
      </c>
      <c r="E21" s="6">
        <v>1.5</v>
      </c>
      <c r="F21" s="6" t="s">
        <v>0</v>
      </c>
      <c r="G21" s="6">
        <v>11</v>
      </c>
      <c r="H21" s="7">
        <f>G21*E21</f>
        <v>16.5</v>
      </c>
      <c r="I21" s="7" t="s">
        <v>117</v>
      </c>
    </row>
    <row r="22" spans="2:9" x14ac:dyDescent="0.35">
      <c r="B22" s="4" t="s">
        <v>4</v>
      </c>
      <c r="C22" s="4" t="s">
        <v>105</v>
      </c>
      <c r="D22" s="5" t="s">
        <v>113</v>
      </c>
      <c r="E22" s="6">
        <v>1.5</v>
      </c>
      <c r="F22" s="6" t="s">
        <v>0</v>
      </c>
      <c r="G22" s="6">
        <v>11</v>
      </c>
      <c r="H22" s="7">
        <f>G22*E22</f>
        <v>16.5</v>
      </c>
      <c r="I22" s="7" t="s">
        <v>117</v>
      </c>
    </row>
    <row r="23" spans="2:9" x14ac:dyDescent="0.35">
      <c r="B23" s="4" t="s">
        <v>4</v>
      </c>
      <c r="C23" s="4" t="s">
        <v>105</v>
      </c>
      <c r="D23" s="5" t="s">
        <v>113</v>
      </c>
      <c r="E23" s="6">
        <v>0.73</v>
      </c>
      <c r="F23" s="6" t="s">
        <v>0</v>
      </c>
      <c r="G23" s="6">
        <v>11</v>
      </c>
      <c r="H23" s="7">
        <f>G23*E23</f>
        <v>8.0299999999999994</v>
      </c>
      <c r="I23" s="7" t="s">
        <v>117</v>
      </c>
    </row>
    <row r="24" spans="2:9" x14ac:dyDescent="0.35">
      <c r="B24" s="4" t="s">
        <v>77</v>
      </c>
      <c r="C24" s="4" t="s">
        <v>78</v>
      </c>
      <c r="D24" s="5" t="s">
        <v>118</v>
      </c>
      <c r="E24" s="6">
        <v>1</v>
      </c>
      <c r="F24" s="6" t="s">
        <v>2</v>
      </c>
      <c r="G24" s="6">
        <v>156</v>
      </c>
      <c r="H24" s="7">
        <f>G24*E24</f>
        <v>156</v>
      </c>
      <c r="I24" s="7" t="s">
        <v>145</v>
      </c>
    </row>
    <row r="25" spans="2:9" x14ac:dyDescent="0.35">
      <c r="B25" s="4" t="s">
        <v>79</v>
      </c>
      <c r="C25" s="4" t="s">
        <v>80</v>
      </c>
      <c r="D25" s="5" t="s">
        <v>118</v>
      </c>
      <c r="E25" s="6">
        <v>1</v>
      </c>
      <c r="F25" s="6" t="s">
        <v>2</v>
      </c>
      <c r="G25" s="6">
        <v>187.5</v>
      </c>
      <c r="H25" s="7">
        <f>G25*E25</f>
        <v>187.5</v>
      </c>
      <c r="I25" s="7" t="s">
        <v>145</v>
      </c>
    </row>
    <row r="26" spans="2:9" x14ac:dyDescent="0.35">
      <c r="B26" s="4" t="s">
        <v>9</v>
      </c>
      <c r="C26" s="4" t="s">
        <v>125</v>
      </c>
      <c r="D26" s="5" t="s">
        <v>118</v>
      </c>
      <c r="E26" s="6">
        <v>4</v>
      </c>
      <c r="F26" s="6" t="s">
        <v>2</v>
      </c>
      <c r="G26" s="6">
        <v>98</v>
      </c>
      <c r="H26" s="7">
        <f>G26*E26</f>
        <v>392</v>
      </c>
      <c r="I26" s="7" t="s">
        <v>145</v>
      </c>
    </row>
    <row r="27" spans="2:9" x14ac:dyDescent="0.35">
      <c r="B27" s="4" t="s">
        <v>8</v>
      </c>
      <c r="C27" s="4" t="s">
        <v>124</v>
      </c>
      <c r="D27" s="5" t="s">
        <v>118</v>
      </c>
      <c r="E27" s="6">
        <v>20</v>
      </c>
      <c r="F27" s="6" t="s">
        <v>2</v>
      </c>
      <c r="G27" s="6">
        <v>69</v>
      </c>
      <c r="H27" s="7">
        <f>G27*E27</f>
        <v>1380</v>
      </c>
      <c r="I27" s="7" t="s">
        <v>145</v>
      </c>
    </row>
    <row r="28" spans="2:9" x14ac:dyDescent="0.35">
      <c r="B28" s="4" t="s">
        <v>46</v>
      </c>
      <c r="C28" s="4" t="s">
        <v>47</v>
      </c>
      <c r="D28" s="5" t="s">
        <v>118</v>
      </c>
      <c r="E28" s="6">
        <v>1</v>
      </c>
      <c r="F28" s="6" t="s">
        <v>41</v>
      </c>
      <c r="G28" s="6">
        <v>243</v>
      </c>
      <c r="H28" s="7">
        <f>G28*E28</f>
        <v>243</v>
      </c>
      <c r="I28" s="7" t="s">
        <v>145</v>
      </c>
    </row>
    <row r="29" spans="2:9" x14ac:dyDescent="0.35">
      <c r="B29" s="4" t="s">
        <v>178</v>
      </c>
      <c r="C29" s="4" t="s">
        <v>175</v>
      </c>
      <c r="D29" s="5" t="s">
        <v>113</v>
      </c>
      <c r="E29" s="6">
        <v>1</v>
      </c>
      <c r="F29" s="6" t="s">
        <v>2</v>
      </c>
      <c r="G29" s="6">
        <v>7899</v>
      </c>
      <c r="H29" s="7">
        <f>G29*E29</f>
        <v>7899</v>
      </c>
      <c r="I29" s="7" t="s">
        <v>174</v>
      </c>
    </row>
    <row r="30" spans="2:9" x14ac:dyDescent="0.35">
      <c r="B30" s="4" t="s">
        <v>48</v>
      </c>
      <c r="C30" s="4" t="s">
        <v>122</v>
      </c>
      <c r="D30" s="5" t="s">
        <v>118</v>
      </c>
      <c r="E30" s="6">
        <v>1</v>
      </c>
      <c r="F30" s="6" t="s">
        <v>2</v>
      </c>
      <c r="G30" s="6">
        <v>70</v>
      </c>
      <c r="H30" s="7">
        <f>G30*E30</f>
        <v>70</v>
      </c>
      <c r="I30" s="7" t="s">
        <v>145</v>
      </c>
    </row>
    <row r="31" spans="2:9" x14ac:dyDescent="0.35">
      <c r="B31" s="4" t="s">
        <v>48</v>
      </c>
      <c r="C31" s="4" t="s">
        <v>122</v>
      </c>
      <c r="D31" s="5" t="s">
        <v>118</v>
      </c>
      <c r="E31" s="6">
        <v>1</v>
      </c>
      <c r="F31" s="6" t="s">
        <v>2</v>
      </c>
      <c r="G31" s="6">
        <v>70</v>
      </c>
      <c r="H31" s="7">
        <f>G31*E31</f>
        <v>70</v>
      </c>
      <c r="I31" s="7" t="s">
        <v>145</v>
      </c>
    </row>
    <row r="32" spans="2:9" x14ac:dyDescent="0.35">
      <c r="B32" s="4" t="s">
        <v>5</v>
      </c>
      <c r="C32" s="4" t="s">
        <v>108</v>
      </c>
      <c r="D32" s="5" t="s">
        <v>118</v>
      </c>
      <c r="E32" s="6">
        <v>1</v>
      </c>
      <c r="F32" s="6" t="s">
        <v>2</v>
      </c>
      <c r="G32" s="6">
        <v>115</v>
      </c>
      <c r="H32" s="7">
        <f>G32*E32</f>
        <v>115</v>
      </c>
      <c r="I32" s="7" t="s">
        <v>145</v>
      </c>
    </row>
    <row r="33" spans="2:9" x14ac:dyDescent="0.35">
      <c r="B33" s="4" t="s">
        <v>148</v>
      </c>
      <c r="C33" s="4" t="s">
        <v>13</v>
      </c>
      <c r="D33" s="5" t="s">
        <v>118</v>
      </c>
      <c r="E33" s="6">
        <v>1</v>
      </c>
      <c r="F33" s="6" t="s">
        <v>2</v>
      </c>
      <c r="G33" s="6">
        <v>675</v>
      </c>
      <c r="H33" s="7">
        <f>G33*E33</f>
        <v>675</v>
      </c>
      <c r="I33" s="7" t="s">
        <v>145</v>
      </c>
    </row>
    <row r="34" spans="2:9" x14ac:dyDescent="0.35">
      <c r="B34" s="4" t="s">
        <v>147</v>
      </c>
      <c r="C34" s="4" t="s">
        <v>15</v>
      </c>
      <c r="D34" s="5" t="s">
        <v>118</v>
      </c>
      <c r="E34" s="6">
        <v>2</v>
      </c>
      <c r="F34" s="6" t="s">
        <v>2</v>
      </c>
      <c r="G34" s="6">
        <v>675</v>
      </c>
      <c r="H34" s="7">
        <f>G34*E34</f>
        <v>1350</v>
      </c>
      <c r="I34" s="7" t="s">
        <v>145</v>
      </c>
    </row>
    <row r="35" spans="2:9" x14ac:dyDescent="0.35">
      <c r="B35" s="4" t="s">
        <v>148</v>
      </c>
      <c r="C35" s="4" t="s">
        <v>26</v>
      </c>
      <c r="D35" s="5" t="s">
        <v>118</v>
      </c>
      <c r="E35" s="6">
        <v>9</v>
      </c>
      <c r="F35" s="6" t="s">
        <v>2</v>
      </c>
      <c r="G35" s="6">
        <v>643</v>
      </c>
      <c r="H35" s="7">
        <f>G35*E35</f>
        <v>5787</v>
      </c>
      <c r="I35" s="7" t="s">
        <v>145</v>
      </c>
    </row>
    <row r="36" spans="2:9" x14ac:dyDescent="0.35">
      <c r="B36" s="4" t="s">
        <v>167</v>
      </c>
      <c r="C36" s="4" t="s">
        <v>82</v>
      </c>
      <c r="D36" s="5" t="s">
        <v>118</v>
      </c>
      <c r="E36" s="6">
        <v>2</v>
      </c>
      <c r="F36" s="6" t="s">
        <v>2</v>
      </c>
      <c r="G36" s="6">
        <v>1432</v>
      </c>
      <c r="H36" s="7">
        <f>G36*E36</f>
        <v>2864</v>
      </c>
      <c r="I36" s="7" t="s">
        <v>145</v>
      </c>
    </row>
    <row r="37" spans="2:9" x14ac:dyDescent="0.35">
      <c r="B37" s="4" t="s">
        <v>147</v>
      </c>
      <c r="C37" s="4" t="s">
        <v>14</v>
      </c>
      <c r="D37" s="5" t="s">
        <v>118</v>
      </c>
      <c r="E37" s="6">
        <v>2</v>
      </c>
      <c r="F37" s="6" t="s">
        <v>2</v>
      </c>
      <c r="G37" s="6">
        <v>768.98</v>
      </c>
      <c r="H37" s="7">
        <f>G37*E37</f>
        <v>1537.96</v>
      </c>
      <c r="I37" s="7" t="s">
        <v>145</v>
      </c>
    </row>
    <row r="38" spans="2:9" x14ac:dyDescent="0.35">
      <c r="B38" s="4" t="s">
        <v>147</v>
      </c>
      <c r="C38" s="4" t="s">
        <v>12</v>
      </c>
      <c r="D38" s="5" t="s">
        <v>118</v>
      </c>
      <c r="E38" s="6">
        <v>1</v>
      </c>
      <c r="F38" s="6" t="s">
        <v>2</v>
      </c>
      <c r="G38" s="6">
        <v>899</v>
      </c>
      <c r="H38" s="7">
        <f>G38*E38</f>
        <v>899</v>
      </c>
      <c r="I38" s="7" t="s">
        <v>145</v>
      </c>
    </row>
    <row r="39" spans="2:9" x14ac:dyDescent="0.35">
      <c r="B39" s="4" t="s">
        <v>147</v>
      </c>
      <c r="C39" s="4" t="s">
        <v>52</v>
      </c>
      <c r="D39" s="5" t="s">
        <v>118</v>
      </c>
      <c r="E39" s="6">
        <v>3</v>
      </c>
      <c r="F39" s="6" t="s">
        <v>2</v>
      </c>
      <c r="G39" s="6">
        <v>768.98</v>
      </c>
      <c r="H39" s="7">
        <f>G39*E39</f>
        <v>2306.94</v>
      </c>
      <c r="I39" s="7" t="s">
        <v>145</v>
      </c>
    </row>
    <row r="40" spans="2:9" x14ac:dyDescent="0.35">
      <c r="B40" s="4" t="s">
        <v>161</v>
      </c>
      <c r="C40" s="4" t="s">
        <v>60</v>
      </c>
      <c r="D40" s="5" t="s">
        <v>118</v>
      </c>
      <c r="E40" s="6">
        <v>1</v>
      </c>
      <c r="F40" s="6" t="s">
        <v>2</v>
      </c>
      <c r="G40" s="6">
        <v>569</v>
      </c>
      <c r="H40" s="7">
        <f>G40*E40</f>
        <v>569</v>
      </c>
      <c r="I40" s="7" t="s">
        <v>145</v>
      </c>
    </row>
    <row r="41" spans="2:9" x14ac:dyDescent="0.35">
      <c r="B41" s="4" t="s">
        <v>171</v>
      </c>
      <c r="C41" s="4" t="s">
        <v>57</v>
      </c>
      <c r="D41" s="5" t="s">
        <v>118</v>
      </c>
      <c r="E41" s="6">
        <v>6.2</v>
      </c>
      <c r="F41" s="6" t="s">
        <v>45</v>
      </c>
      <c r="G41" s="6">
        <v>264</v>
      </c>
      <c r="H41" s="7">
        <f>G41*E41</f>
        <v>1636.8</v>
      </c>
      <c r="I41" s="7" t="s">
        <v>145</v>
      </c>
    </row>
    <row r="42" spans="2:9" x14ac:dyDescent="0.35">
      <c r="B42" s="4" t="s">
        <v>164</v>
      </c>
      <c r="C42" s="4" t="s">
        <v>88</v>
      </c>
      <c r="D42" s="5" t="s">
        <v>118</v>
      </c>
      <c r="E42" s="6">
        <v>4.8</v>
      </c>
      <c r="F42" s="6" t="s">
        <v>45</v>
      </c>
      <c r="G42" s="6">
        <v>298</v>
      </c>
      <c r="H42" s="7">
        <f>G42*E42</f>
        <v>1430.3999999999999</v>
      </c>
      <c r="I42" s="7" t="s">
        <v>145</v>
      </c>
    </row>
    <row r="43" spans="2:9" x14ac:dyDescent="0.35">
      <c r="B43" s="4" t="s">
        <v>134</v>
      </c>
      <c r="C43" s="4" t="s">
        <v>73</v>
      </c>
      <c r="D43" s="5" t="s">
        <v>118</v>
      </c>
      <c r="E43" s="6">
        <v>0.25</v>
      </c>
      <c r="F43" s="6" t="s">
        <v>34</v>
      </c>
      <c r="G43" s="6">
        <v>59</v>
      </c>
      <c r="H43" s="7">
        <f>E43*G43</f>
        <v>14.75</v>
      </c>
      <c r="I43" s="7" t="s">
        <v>145</v>
      </c>
    </row>
    <row r="44" spans="2:9" x14ac:dyDescent="0.35">
      <c r="B44" s="4" t="s">
        <v>135</v>
      </c>
      <c r="C44" s="4" t="s">
        <v>74</v>
      </c>
      <c r="D44" s="5" t="s">
        <v>118</v>
      </c>
      <c r="E44" s="6">
        <v>0.25</v>
      </c>
      <c r="F44" s="6" t="s">
        <v>34</v>
      </c>
      <c r="G44" s="6">
        <v>65</v>
      </c>
      <c r="H44" s="7">
        <f>E44*G44</f>
        <v>16.25</v>
      </c>
      <c r="I44" s="7" t="s">
        <v>145</v>
      </c>
    </row>
    <row r="45" spans="2:9" x14ac:dyDescent="0.35">
      <c r="B45" s="4" t="s">
        <v>138</v>
      </c>
      <c r="C45" s="4" t="s">
        <v>83</v>
      </c>
      <c r="D45" s="5" t="s">
        <v>118</v>
      </c>
      <c r="E45" s="6">
        <v>0.25</v>
      </c>
      <c r="F45" s="6" t="s">
        <v>34</v>
      </c>
      <c r="G45" s="6">
        <v>74</v>
      </c>
      <c r="H45" s="7">
        <f>E45*G45</f>
        <v>18.5</v>
      </c>
      <c r="I45" s="7" t="s">
        <v>145</v>
      </c>
    </row>
    <row r="46" spans="2:9" x14ac:dyDescent="0.35">
      <c r="B46" s="4" t="s">
        <v>139</v>
      </c>
      <c r="C46" s="4" t="s">
        <v>84</v>
      </c>
      <c r="D46" s="5" t="s">
        <v>118</v>
      </c>
      <c r="E46" s="6">
        <v>0.5</v>
      </c>
      <c r="F46" s="6" t="s">
        <v>34</v>
      </c>
      <c r="G46" s="6">
        <v>84</v>
      </c>
      <c r="H46" s="7">
        <f>E46*G46</f>
        <v>42</v>
      </c>
      <c r="I46" s="7" t="s">
        <v>145</v>
      </c>
    </row>
    <row r="47" spans="2:9" x14ac:dyDescent="0.35">
      <c r="B47" s="4" t="s">
        <v>136</v>
      </c>
      <c r="C47" s="4" t="s">
        <v>75</v>
      </c>
      <c r="D47" s="5" t="s">
        <v>118</v>
      </c>
      <c r="E47" s="6">
        <v>0.25</v>
      </c>
      <c r="F47" s="6" t="s">
        <v>34</v>
      </c>
      <c r="G47" s="6">
        <v>43</v>
      </c>
      <c r="H47" s="7">
        <f>E47*G47</f>
        <v>10.75</v>
      </c>
      <c r="I47" s="7" t="s">
        <v>145</v>
      </c>
    </row>
    <row r="48" spans="2:9" x14ac:dyDescent="0.35">
      <c r="B48" s="4" t="s">
        <v>137</v>
      </c>
      <c r="C48" s="4" t="s">
        <v>76</v>
      </c>
      <c r="D48" s="5" t="s">
        <v>118</v>
      </c>
      <c r="E48" s="6">
        <v>0.25</v>
      </c>
      <c r="F48" s="6" t="s">
        <v>34</v>
      </c>
      <c r="G48" s="6">
        <v>52</v>
      </c>
      <c r="H48" s="7">
        <f>E48*G48</f>
        <v>13</v>
      </c>
      <c r="I48" s="7" t="s">
        <v>145</v>
      </c>
    </row>
    <row r="49" spans="2:9" x14ac:dyDescent="0.35">
      <c r="B49" s="4" t="s">
        <v>128</v>
      </c>
      <c r="C49" s="4" t="s">
        <v>21</v>
      </c>
      <c r="D49" s="5" t="s">
        <v>118</v>
      </c>
      <c r="E49" s="6">
        <v>0.4</v>
      </c>
      <c r="F49" s="6" t="s">
        <v>0</v>
      </c>
      <c r="G49" s="6">
        <v>350</v>
      </c>
      <c r="H49" s="7">
        <f>E49*G49</f>
        <v>140</v>
      </c>
      <c r="I49" s="7" t="s">
        <v>145</v>
      </c>
    </row>
    <row r="50" spans="2:9" x14ac:dyDescent="0.35">
      <c r="B50" s="4" t="s">
        <v>128</v>
      </c>
      <c r="C50" s="4" t="s">
        <v>21</v>
      </c>
      <c r="D50" s="5" t="s">
        <v>118</v>
      </c>
      <c r="E50" s="6">
        <v>0.2</v>
      </c>
      <c r="F50" s="6" t="s">
        <v>0</v>
      </c>
      <c r="G50" s="6">
        <v>350</v>
      </c>
      <c r="H50" s="7">
        <f>E50*G50</f>
        <v>70</v>
      </c>
      <c r="I50" s="7" t="s">
        <v>145</v>
      </c>
    </row>
    <row r="51" spans="2:9" x14ac:dyDescent="0.35">
      <c r="B51" s="4" t="s">
        <v>153</v>
      </c>
      <c r="C51" s="4" t="s">
        <v>150</v>
      </c>
      <c r="D51" s="5" t="s">
        <v>113</v>
      </c>
      <c r="E51" s="6">
        <v>41.11</v>
      </c>
      <c r="F51" s="6" t="s">
        <v>0</v>
      </c>
      <c r="G51" s="6">
        <v>8.8000000000000007</v>
      </c>
      <c r="H51" s="7">
        <f>G51*E51</f>
        <v>361.76800000000003</v>
      </c>
      <c r="I51" s="7" t="s">
        <v>145</v>
      </c>
    </row>
    <row r="52" spans="2:9" x14ac:dyDescent="0.35">
      <c r="B52" s="4" t="s">
        <v>16</v>
      </c>
      <c r="C52" s="4" t="s">
        <v>150</v>
      </c>
      <c r="D52" s="5" t="s">
        <v>118</v>
      </c>
      <c r="E52" s="6">
        <v>5.05</v>
      </c>
      <c r="F52" s="6" t="s">
        <v>0</v>
      </c>
      <c r="G52" s="6">
        <v>8.8000000000000007</v>
      </c>
      <c r="H52" s="7">
        <f>G52*E52</f>
        <v>44.440000000000005</v>
      </c>
      <c r="I52" s="7" t="s">
        <v>145</v>
      </c>
    </row>
    <row r="53" spans="2:9" x14ac:dyDescent="0.35">
      <c r="B53" s="4" t="s">
        <v>154</v>
      </c>
      <c r="C53" s="4" t="s">
        <v>151</v>
      </c>
      <c r="D53" s="5" t="s">
        <v>113</v>
      </c>
      <c r="E53" s="6">
        <v>53.47</v>
      </c>
      <c r="F53" s="6" t="s">
        <v>0</v>
      </c>
      <c r="G53" s="6">
        <v>9.3000000000000007</v>
      </c>
      <c r="H53" s="7">
        <f>G53*E53</f>
        <v>497.27100000000002</v>
      </c>
      <c r="I53" s="7" t="s">
        <v>145</v>
      </c>
    </row>
    <row r="54" spans="2:9" x14ac:dyDescent="0.35">
      <c r="B54" s="4" t="s">
        <v>17</v>
      </c>
      <c r="C54" s="4" t="s">
        <v>151</v>
      </c>
      <c r="D54" s="5" t="s">
        <v>118</v>
      </c>
      <c r="E54" s="6">
        <v>6.67</v>
      </c>
      <c r="F54" s="6" t="s">
        <v>0</v>
      </c>
      <c r="G54" s="6">
        <v>9.3000000000000007</v>
      </c>
      <c r="H54" s="7">
        <f>G54*E54</f>
        <v>62.031000000000006</v>
      </c>
      <c r="I54" s="7" t="s">
        <v>145</v>
      </c>
    </row>
    <row r="55" spans="2:9" x14ac:dyDescent="0.35">
      <c r="B55" s="4" t="s">
        <v>143</v>
      </c>
      <c r="C55" s="4" t="s">
        <v>98</v>
      </c>
      <c r="D55" s="5" t="s">
        <v>118</v>
      </c>
      <c r="E55" s="6">
        <v>0.2</v>
      </c>
      <c r="F55" s="6" t="s">
        <v>0</v>
      </c>
      <c r="G55" s="6">
        <v>876</v>
      </c>
      <c r="H55" s="7">
        <f>E55*G55</f>
        <v>175.20000000000002</v>
      </c>
      <c r="I55" s="7" t="s">
        <v>145</v>
      </c>
    </row>
    <row r="56" spans="2:9" x14ac:dyDescent="0.35">
      <c r="B56" s="4" t="s">
        <v>184</v>
      </c>
      <c r="C56" s="4" t="s">
        <v>62</v>
      </c>
      <c r="D56" s="5" t="s">
        <v>113</v>
      </c>
      <c r="E56" s="6">
        <v>0.5</v>
      </c>
      <c r="F56" s="6" t="s">
        <v>2</v>
      </c>
      <c r="G56" s="6">
        <v>9.8000000000000007</v>
      </c>
      <c r="H56" s="7">
        <f>G56*E56</f>
        <v>4.9000000000000004</v>
      </c>
      <c r="I56" s="7" t="s">
        <v>117</v>
      </c>
    </row>
    <row r="57" spans="2:9" x14ac:dyDescent="0.35">
      <c r="B57" s="4" t="s">
        <v>120</v>
      </c>
      <c r="C57" s="4" t="s">
        <v>119</v>
      </c>
      <c r="D57" s="5" t="s">
        <v>113</v>
      </c>
      <c r="E57" s="6">
        <v>1</v>
      </c>
      <c r="F57" s="6" t="s">
        <v>0</v>
      </c>
      <c r="G57" s="6">
        <v>9.5</v>
      </c>
      <c r="H57" s="7">
        <f>E57*G57</f>
        <v>9.5</v>
      </c>
      <c r="I57" s="7" t="s">
        <v>117</v>
      </c>
    </row>
    <row r="58" spans="2:9" x14ac:dyDescent="0.35">
      <c r="B58" s="4" t="s">
        <v>120</v>
      </c>
      <c r="C58" s="4" t="s">
        <v>119</v>
      </c>
      <c r="D58" s="5" t="s">
        <v>113</v>
      </c>
      <c r="E58" s="6">
        <v>1</v>
      </c>
      <c r="F58" s="6" t="s">
        <v>0</v>
      </c>
      <c r="G58" s="6">
        <v>9.5</v>
      </c>
      <c r="H58" s="7">
        <f>E58*G58</f>
        <v>9.5</v>
      </c>
      <c r="I58" s="7" t="s">
        <v>117</v>
      </c>
    </row>
    <row r="59" spans="2:9" x14ac:dyDescent="0.35">
      <c r="B59" s="4" t="s">
        <v>120</v>
      </c>
      <c r="C59" s="4" t="s">
        <v>119</v>
      </c>
      <c r="D59" s="5" t="s">
        <v>113</v>
      </c>
      <c r="E59" s="6">
        <v>1</v>
      </c>
      <c r="F59" s="6" t="s">
        <v>0</v>
      </c>
      <c r="G59" s="6">
        <v>9.5</v>
      </c>
      <c r="H59" s="7">
        <f>E59*G59</f>
        <v>9.5</v>
      </c>
      <c r="I59" s="7" t="s">
        <v>117</v>
      </c>
    </row>
    <row r="60" spans="2:9" x14ac:dyDescent="0.35">
      <c r="B60" s="4" t="s">
        <v>120</v>
      </c>
      <c r="C60" s="4" t="s">
        <v>119</v>
      </c>
      <c r="D60" s="5" t="s">
        <v>113</v>
      </c>
      <c r="E60" s="6">
        <v>4</v>
      </c>
      <c r="F60" s="6" t="s">
        <v>0</v>
      </c>
      <c r="G60" s="6">
        <v>9.5</v>
      </c>
      <c r="H60" s="7">
        <f>E60*G60</f>
        <v>38</v>
      </c>
      <c r="I60" s="7" t="s">
        <v>117</v>
      </c>
    </row>
    <row r="61" spans="2:9" x14ac:dyDescent="0.35">
      <c r="B61" s="4" t="s">
        <v>120</v>
      </c>
      <c r="C61" s="4" t="s">
        <v>119</v>
      </c>
      <c r="D61" s="5" t="s">
        <v>113</v>
      </c>
      <c r="E61" s="6">
        <v>2</v>
      </c>
      <c r="F61" s="6" t="s">
        <v>0</v>
      </c>
      <c r="G61" s="6">
        <v>9.5</v>
      </c>
      <c r="H61" s="7">
        <f>E61*G61</f>
        <v>19</v>
      </c>
      <c r="I61" s="7" t="s">
        <v>117</v>
      </c>
    </row>
    <row r="62" spans="2:9" x14ac:dyDescent="0.35">
      <c r="B62" s="4" t="s">
        <v>120</v>
      </c>
      <c r="C62" s="4" t="s">
        <v>119</v>
      </c>
      <c r="D62" s="5" t="s">
        <v>113</v>
      </c>
      <c r="E62" s="6">
        <v>6.5</v>
      </c>
      <c r="F62" s="6" t="s">
        <v>0</v>
      </c>
      <c r="G62" s="6">
        <v>9.5</v>
      </c>
      <c r="H62" s="7">
        <f>E62*G62</f>
        <v>61.75</v>
      </c>
      <c r="I62" s="7" t="s">
        <v>117</v>
      </c>
    </row>
    <row r="63" spans="2:9" x14ac:dyDescent="0.35">
      <c r="B63" s="4" t="s">
        <v>140</v>
      </c>
      <c r="C63" s="4" t="s">
        <v>87</v>
      </c>
      <c r="D63" s="5" t="s">
        <v>118</v>
      </c>
      <c r="E63" s="6">
        <v>8</v>
      </c>
      <c r="F63" s="6" t="s">
        <v>2</v>
      </c>
      <c r="G63" s="6">
        <v>26</v>
      </c>
      <c r="H63" s="7">
        <f>E63*G63</f>
        <v>208</v>
      </c>
      <c r="I63" s="7" t="s">
        <v>145</v>
      </c>
    </row>
    <row r="64" spans="2:9" x14ac:dyDescent="0.35">
      <c r="B64" s="4" t="s">
        <v>149</v>
      </c>
      <c r="C64" s="4" t="s">
        <v>152</v>
      </c>
      <c r="D64" s="5" t="s">
        <v>118</v>
      </c>
      <c r="E64" s="6">
        <v>2</v>
      </c>
      <c r="F64" s="6" t="s">
        <v>2</v>
      </c>
      <c r="G64" s="6">
        <v>453</v>
      </c>
      <c r="H64" s="7">
        <f>G64*E64</f>
        <v>906</v>
      </c>
      <c r="I64" s="7" t="s">
        <v>145</v>
      </c>
    </row>
    <row r="65" spans="2:9" x14ac:dyDescent="0.35">
      <c r="B65" s="4" t="s">
        <v>142</v>
      </c>
      <c r="C65" s="4" t="s">
        <v>97</v>
      </c>
      <c r="D65" s="5" t="s">
        <v>118</v>
      </c>
      <c r="E65" s="6">
        <v>1</v>
      </c>
      <c r="F65" s="6" t="s">
        <v>11</v>
      </c>
      <c r="G65" s="6">
        <v>602</v>
      </c>
      <c r="H65" s="7">
        <f>E65*G65</f>
        <v>602</v>
      </c>
      <c r="I65" s="7" t="s">
        <v>145</v>
      </c>
    </row>
    <row r="66" spans="2:9" x14ac:dyDescent="0.35">
      <c r="B66" s="4" t="s">
        <v>144</v>
      </c>
      <c r="C66" s="4" t="s">
        <v>97</v>
      </c>
      <c r="D66" s="5" t="s">
        <v>118</v>
      </c>
      <c r="E66" s="6">
        <v>0.5</v>
      </c>
      <c r="F66" s="6" t="s">
        <v>11</v>
      </c>
      <c r="G66" s="6">
        <v>602</v>
      </c>
      <c r="H66" s="7">
        <f>E66*G66</f>
        <v>301</v>
      </c>
      <c r="I66" s="7" t="s">
        <v>145</v>
      </c>
    </row>
    <row r="67" spans="2:9" x14ac:dyDescent="0.35">
      <c r="B67" s="4" t="s">
        <v>131</v>
      </c>
      <c r="C67" s="4" t="s">
        <v>59</v>
      </c>
      <c r="D67" s="5" t="s">
        <v>113</v>
      </c>
      <c r="E67" s="6">
        <v>2</v>
      </c>
      <c r="F67" s="6" t="s">
        <v>2</v>
      </c>
      <c r="G67" s="6">
        <v>24.54</v>
      </c>
      <c r="H67" s="7">
        <f>G67*E67</f>
        <v>49.08</v>
      </c>
      <c r="I67" s="7" t="s">
        <v>117</v>
      </c>
    </row>
    <row r="68" spans="2:9" x14ac:dyDescent="0.35">
      <c r="B68" s="4" t="s">
        <v>133</v>
      </c>
      <c r="C68" s="4" t="s">
        <v>64</v>
      </c>
      <c r="D68" s="5" t="s">
        <v>113</v>
      </c>
      <c r="E68" s="6">
        <v>1</v>
      </c>
      <c r="F68" s="6" t="s">
        <v>2</v>
      </c>
      <c r="G68" s="6">
        <v>31</v>
      </c>
      <c r="H68" s="7">
        <f>E68*G68</f>
        <v>31</v>
      </c>
      <c r="I68" s="7" t="s">
        <v>117</v>
      </c>
    </row>
    <row r="69" spans="2:9" x14ac:dyDescent="0.35">
      <c r="B69" s="4" t="s">
        <v>198</v>
      </c>
      <c r="C69" s="4" t="s">
        <v>27</v>
      </c>
      <c r="D69" s="5" t="s">
        <v>118</v>
      </c>
      <c r="E69" s="6">
        <v>22</v>
      </c>
      <c r="F69" s="6" t="s">
        <v>2</v>
      </c>
      <c r="G69" s="6">
        <v>23</v>
      </c>
      <c r="H69" s="7">
        <f>G69*E69</f>
        <v>506</v>
      </c>
      <c r="I69" s="7" t="s">
        <v>145</v>
      </c>
    </row>
    <row r="70" spans="2:9" x14ac:dyDescent="0.35">
      <c r="B70" s="4" t="s">
        <v>187</v>
      </c>
      <c r="C70" s="4" t="s">
        <v>63</v>
      </c>
      <c r="D70" s="5" t="s">
        <v>118</v>
      </c>
      <c r="E70" s="6">
        <v>1</v>
      </c>
      <c r="F70" s="6" t="s">
        <v>2</v>
      </c>
      <c r="G70" s="6">
        <v>30</v>
      </c>
      <c r="H70" s="7">
        <f>G70*E70</f>
        <v>30</v>
      </c>
      <c r="I70" s="7" t="s">
        <v>145</v>
      </c>
    </row>
    <row r="71" spans="2:9" x14ac:dyDescent="0.35">
      <c r="B71" s="4" t="s">
        <v>201</v>
      </c>
      <c r="C71" s="4" t="s">
        <v>6</v>
      </c>
      <c r="D71" s="5" t="s">
        <v>118</v>
      </c>
      <c r="E71" s="6">
        <v>2</v>
      </c>
      <c r="F71" s="6" t="s">
        <v>2</v>
      </c>
      <c r="G71" s="6">
        <v>9876</v>
      </c>
      <c r="H71" s="7">
        <f>G71*E71</f>
        <v>19752</v>
      </c>
      <c r="I71" s="7" t="s">
        <v>145</v>
      </c>
    </row>
    <row r="72" spans="2:9" x14ac:dyDescent="0.35">
      <c r="B72" s="4" t="s">
        <v>196</v>
      </c>
      <c r="C72" s="4" t="s">
        <v>85</v>
      </c>
      <c r="D72" s="5" t="s">
        <v>118</v>
      </c>
      <c r="E72" s="6">
        <v>10</v>
      </c>
      <c r="F72" s="6" t="s">
        <v>2</v>
      </c>
      <c r="G72" s="6">
        <v>2</v>
      </c>
      <c r="H72" s="7">
        <f>G72*E72</f>
        <v>20</v>
      </c>
      <c r="I72" s="7" t="s">
        <v>145</v>
      </c>
    </row>
    <row r="73" spans="2:9" x14ac:dyDescent="0.35">
      <c r="B73" s="4" t="s">
        <v>196</v>
      </c>
      <c r="C73" s="4" t="s">
        <v>85</v>
      </c>
      <c r="D73" s="5" t="s">
        <v>118</v>
      </c>
      <c r="E73" s="6">
        <v>5</v>
      </c>
      <c r="F73" s="6" t="s">
        <v>2</v>
      </c>
      <c r="G73" s="6">
        <v>2.2000000000000002</v>
      </c>
      <c r="H73" s="7">
        <f>G73*E73</f>
        <v>11</v>
      </c>
      <c r="I73" s="7" t="s">
        <v>145</v>
      </c>
    </row>
    <row r="74" spans="2:9" x14ac:dyDescent="0.35">
      <c r="B74" s="4" t="s">
        <v>185</v>
      </c>
      <c r="C74" s="4" t="s">
        <v>54</v>
      </c>
      <c r="D74" s="5" t="s">
        <v>118</v>
      </c>
      <c r="E74" s="6">
        <v>6</v>
      </c>
      <c r="F74" s="6" t="s">
        <v>2</v>
      </c>
      <c r="G74" s="6">
        <v>2.5</v>
      </c>
      <c r="H74" s="7">
        <f>G74*E74</f>
        <v>15</v>
      </c>
      <c r="I74" s="7" t="s">
        <v>145</v>
      </c>
    </row>
    <row r="75" spans="2:9" x14ac:dyDescent="0.35">
      <c r="B75" s="4" t="s">
        <v>195</v>
      </c>
      <c r="C75" s="4" t="s">
        <v>96</v>
      </c>
      <c r="D75" s="5" t="s">
        <v>118</v>
      </c>
      <c r="E75" s="6">
        <v>20</v>
      </c>
      <c r="F75" s="6" t="s">
        <v>2</v>
      </c>
      <c r="G75" s="6">
        <v>3</v>
      </c>
      <c r="H75" s="7">
        <f>G75*E75</f>
        <v>60</v>
      </c>
      <c r="I75" s="7" t="s">
        <v>145</v>
      </c>
    </row>
    <row r="76" spans="2:9" x14ac:dyDescent="0.35">
      <c r="B76" s="4" t="s">
        <v>199</v>
      </c>
      <c r="C76" s="4" t="s">
        <v>28</v>
      </c>
      <c r="D76" s="5" t="s">
        <v>118</v>
      </c>
      <c r="E76" s="6">
        <v>22</v>
      </c>
      <c r="F76" s="6" t="s">
        <v>2</v>
      </c>
      <c r="G76" s="6">
        <v>2.5</v>
      </c>
      <c r="H76" s="7">
        <f>G76*E76</f>
        <v>55</v>
      </c>
      <c r="I76" s="7" t="s">
        <v>145</v>
      </c>
    </row>
    <row r="77" spans="2:9" x14ac:dyDescent="0.35">
      <c r="B77" s="4" t="s">
        <v>186</v>
      </c>
      <c r="C77" s="4" t="s">
        <v>58</v>
      </c>
      <c r="D77" s="5" t="s">
        <v>118</v>
      </c>
      <c r="E77" s="6">
        <v>20</v>
      </c>
      <c r="F77" s="6" t="s">
        <v>2</v>
      </c>
      <c r="G77" s="6">
        <v>3</v>
      </c>
      <c r="H77" s="7">
        <f>G77*E77</f>
        <v>60</v>
      </c>
      <c r="I77" s="7" t="s">
        <v>145</v>
      </c>
    </row>
    <row r="78" spans="2:9" x14ac:dyDescent="0.35">
      <c r="B78" s="4" t="s">
        <v>179</v>
      </c>
      <c r="C78" s="4" t="s">
        <v>1</v>
      </c>
      <c r="D78" s="5" t="s">
        <v>118</v>
      </c>
      <c r="E78" s="6">
        <v>2</v>
      </c>
      <c r="F78" s="6" t="s">
        <v>2</v>
      </c>
      <c r="G78" s="6">
        <v>6587</v>
      </c>
      <c r="H78" s="7">
        <f>G78*E78</f>
        <v>13174</v>
      </c>
      <c r="I78" s="7" t="s">
        <v>145</v>
      </c>
    </row>
    <row r="79" spans="2:9" x14ac:dyDescent="0.35">
      <c r="B79" s="4" t="s">
        <v>179</v>
      </c>
      <c r="C79" s="4" t="s">
        <v>1</v>
      </c>
      <c r="D79" s="5" t="s">
        <v>118</v>
      </c>
      <c r="E79" s="6">
        <v>1</v>
      </c>
      <c r="F79" s="6" t="s">
        <v>2</v>
      </c>
      <c r="G79" s="6">
        <v>6587</v>
      </c>
      <c r="H79" s="7">
        <f>G79*E79</f>
        <v>6587</v>
      </c>
      <c r="I79" s="7" t="s">
        <v>145</v>
      </c>
    </row>
    <row r="80" spans="2:9" x14ac:dyDescent="0.35">
      <c r="B80" s="4" t="s">
        <v>191</v>
      </c>
      <c r="C80" s="4" t="s">
        <v>7</v>
      </c>
      <c r="D80" s="5" t="s">
        <v>118</v>
      </c>
      <c r="E80" s="6">
        <v>0.6</v>
      </c>
      <c r="F80" s="6" t="s">
        <v>0</v>
      </c>
      <c r="G80" s="6">
        <v>654</v>
      </c>
      <c r="H80" s="7">
        <f>G80*E80</f>
        <v>392.4</v>
      </c>
      <c r="I80" s="7" t="s">
        <v>145</v>
      </c>
    </row>
    <row r="81" spans="2:9" x14ac:dyDescent="0.35">
      <c r="B81" s="4" t="s">
        <v>191</v>
      </c>
      <c r="C81" s="4" t="s">
        <v>7</v>
      </c>
      <c r="D81" s="5" t="s">
        <v>118</v>
      </c>
      <c r="E81" s="6">
        <v>1.2</v>
      </c>
      <c r="F81" s="6" t="s">
        <v>0</v>
      </c>
      <c r="G81" s="6">
        <v>654</v>
      </c>
      <c r="H81" s="7">
        <f>G81*E81</f>
        <v>784.8</v>
      </c>
      <c r="I81" s="7" t="s">
        <v>145</v>
      </c>
    </row>
    <row r="82" spans="2:9" x14ac:dyDescent="0.35">
      <c r="B82" s="4" t="s">
        <v>191</v>
      </c>
      <c r="C82" s="4" t="s">
        <v>7</v>
      </c>
      <c r="D82" s="5" t="s">
        <v>118</v>
      </c>
      <c r="E82" s="6">
        <v>1.1000000000000001</v>
      </c>
      <c r="F82" s="6" t="s">
        <v>0</v>
      </c>
      <c r="G82" s="6">
        <v>654</v>
      </c>
      <c r="H82" s="7">
        <f>G82*E82</f>
        <v>719.40000000000009</v>
      </c>
      <c r="I82" s="7" t="s">
        <v>145</v>
      </c>
    </row>
    <row r="83" spans="2:9" x14ac:dyDescent="0.35">
      <c r="B83" s="4" t="s">
        <v>190</v>
      </c>
      <c r="C83" s="4" t="s">
        <v>65</v>
      </c>
      <c r="D83" s="5" t="s">
        <v>118</v>
      </c>
      <c r="E83" s="6">
        <v>1</v>
      </c>
      <c r="F83" s="6" t="s">
        <v>2</v>
      </c>
      <c r="G83" s="6">
        <v>4</v>
      </c>
      <c r="H83" s="7">
        <f>G83*E83</f>
        <v>4</v>
      </c>
      <c r="I83" s="7" t="s">
        <v>145</v>
      </c>
    </row>
    <row r="84" spans="2:9" x14ac:dyDescent="0.35">
      <c r="B84" s="4" t="s">
        <v>182</v>
      </c>
      <c r="C84" s="4" t="s">
        <v>23</v>
      </c>
      <c r="D84" s="5" t="s">
        <v>118</v>
      </c>
      <c r="E84" s="6">
        <v>2</v>
      </c>
      <c r="F84" s="6" t="s">
        <v>2</v>
      </c>
      <c r="G84" s="6">
        <v>43</v>
      </c>
      <c r="H84" s="7">
        <f>G84*E84</f>
        <v>86</v>
      </c>
      <c r="I84" s="7" t="s">
        <v>145</v>
      </c>
    </row>
    <row r="85" spans="2:9" x14ac:dyDescent="0.35">
      <c r="B85" s="4" t="s">
        <v>182</v>
      </c>
      <c r="C85" s="4" t="s">
        <v>23</v>
      </c>
      <c r="D85" s="5" t="s">
        <v>118</v>
      </c>
      <c r="E85" s="6">
        <v>1</v>
      </c>
      <c r="F85" s="6" t="s">
        <v>2</v>
      </c>
      <c r="G85" s="6">
        <v>43</v>
      </c>
      <c r="H85" s="7">
        <f>G85*E85</f>
        <v>43</v>
      </c>
      <c r="I85" s="7" t="s">
        <v>145</v>
      </c>
    </row>
    <row r="86" spans="2:9" x14ac:dyDescent="0.35">
      <c r="B86" s="4" t="s">
        <v>180</v>
      </c>
      <c r="C86" s="4" t="s">
        <v>181</v>
      </c>
      <c r="D86" s="5" t="s">
        <v>113</v>
      </c>
      <c r="E86" s="6">
        <v>6</v>
      </c>
      <c r="F86" s="6" t="s">
        <v>0</v>
      </c>
      <c r="G86" s="6">
        <v>3.4</v>
      </c>
      <c r="H86" s="7">
        <f>G86*E86</f>
        <v>20.399999999999999</v>
      </c>
      <c r="I86" s="7" t="s">
        <v>117</v>
      </c>
    </row>
    <row r="87" spans="2:9" x14ac:dyDescent="0.35">
      <c r="B87" s="4" t="s">
        <v>180</v>
      </c>
      <c r="C87" s="4" t="s">
        <v>181</v>
      </c>
      <c r="D87" s="5" t="s">
        <v>113</v>
      </c>
      <c r="E87" s="6">
        <v>8</v>
      </c>
      <c r="F87" s="6" t="s">
        <v>0</v>
      </c>
      <c r="G87" s="6">
        <v>3.4</v>
      </c>
      <c r="H87" s="7">
        <f>G87*E87</f>
        <v>27.2</v>
      </c>
      <c r="I87" s="7" t="s">
        <v>117</v>
      </c>
    </row>
    <row r="88" spans="2:9" x14ac:dyDescent="0.35">
      <c r="B88" s="4" t="s">
        <v>180</v>
      </c>
      <c r="C88" s="4" t="s">
        <v>181</v>
      </c>
      <c r="D88" s="5" t="s">
        <v>113</v>
      </c>
      <c r="E88" s="6">
        <v>8</v>
      </c>
      <c r="F88" s="6" t="s">
        <v>0</v>
      </c>
      <c r="G88" s="6">
        <v>3.4</v>
      </c>
      <c r="H88" s="7">
        <f>G88*E88</f>
        <v>27.2</v>
      </c>
      <c r="I88" s="7" t="s">
        <v>117</v>
      </c>
    </row>
    <row r="89" spans="2:9" x14ac:dyDescent="0.35">
      <c r="B89" s="4" t="s">
        <v>180</v>
      </c>
      <c r="C89" s="4" t="s">
        <v>181</v>
      </c>
      <c r="D89" s="5" t="s">
        <v>113</v>
      </c>
      <c r="E89" s="6">
        <v>12</v>
      </c>
      <c r="F89" s="6" t="s">
        <v>0</v>
      </c>
      <c r="G89" s="6">
        <v>3.4</v>
      </c>
      <c r="H89" s="7">
        <f>G89*E89</f>
        <v>40.799999999999997</v>
      </c>
      <c r="I89" s="7" t="s">
        <v>117</v>
      </c>
    </row>
    <row r="90" spans="2:9" x14ac:dyDescent="0.35">
      <c r="B90" s="4" t="s">
        <v>180</v>
      </c>
      <c r="C90" s="4" t="s">
        <v>181</v>
      </c>
      <c r="D90" s="5" t="s">
        <v>113</v>
      </c>
      <c r="E90" s="6">
        <v>2.5</v>
      </c>
      <c r="F90" s="6" t="s">
        <v>0</v>
      </c>
      <c r="G90" s="6">
        <v>3.4</v>
      </c>
      <c r="H90" s="7">
        <f>G90*E90</f>
        <v>8.5</v>
      </c>
      <c r="I90" s="7" t="s">
        <v>117</v>
      </c>
    </row>
    <row r="91" spans="2:9" x14ac:dyDescent="0.35">
      <c r="B91" s="4" t="s">
        <v>180</v>
      </c>
      <c r="C91" s="4" t="s">
        <v>181</v>
      </c>
      <c r="D91" s="5" t="s">
        <v>113</v>
      </c>
      <c r="E91" s="6">
        <v>2.5</v>
      </c>
      <c r="F91" s="6" t="s">
        <v>0</v>
      </c>
      <c r="G91" s="6">
        <v>3.4</v>
      </c>
      <c r="H91" s="7">
        <f>E91*G91</f>
        <v>8.5</v>
      </c>
      <c r="I91" s="7" t="s">
        <v>117</v>
      </c>
    </row>
    <row r="92" spans="2:9" x14ac:dyDescent="0.35">
      <c r="B92" s="4" t="s">
        <v>180</v>
      </c>
      <c r="C92" s="4" t="s">
        <v>181</v>
      </c>
      <c r="D92" s="5" t="s">
        <v>113</v>
      </c>
      <c r="E92" s="6">
        <v>2.5</v>
      </c>
      <c r="F92" s="6" t="s">
        <v>0</v>
      </c>
      <c r="G92" s="6">
        <v>3.4</v>
      </c>
      <c r="H92" s="7">
        <f>G92*E92</f>
        <v>8.5</v>
      </c>
      <c r="I92" s="7" t="s">
        <v>117</v>
      </c>
    </row>
    <row r="93" spans="2:9" x14ac:dyDescent="0.35">
      <c r="B93" s="4" t="s">
        <v>180</v>
      </c>
      <c r="C93" s="4" t="s">
        <v>181</v>
      </c>
      <c r="D93" s="5" t="s">
        <v>113</v>
      </c>
      <c r="E93" s="6">
        <v>2.5</v>
      </c>
      <c r="F93" s="6" t="s">
        <v>0</v>
      </c>
      <c r="G93" s="6">
        <v>3.4</v>
      </c>
      <c r="H93" s="7">
        <f>G93*E93</f>
        <v>8.5</v>
      </c>
      <c r="I93" s="7" t="s">
        <v>117</v>
      </c>
    </row>
    <row r="94" spans="2:9" x14ac:dyDescent="0.35">
      <c r="B94" s="4" t="s">
        <v>146</v>
      </c>
      <c r="C94" s="4" t="s">
        <v>107</v>
      </c>
      <c r="D94" s="5" t="s">
        <v>113</v>
      </c>
      <c r="E94" s="6">
        <v>24</v>
      </c>
      <c r="F94" s="6" t="s">
        <v>0</v>
      </c>
      <c r="G94" s="6">
        <v>3.6</v>
      </c>
      <c r="H94" s="7">
        <f>G94*E94</f>
        <v>86.4</v>
      </c>
      <c r="I94" s="7" t="s">
        <v>117</v>
      </c>
    </row>
    <row r="95" spans="2:9" x14ac:dyDescent="0.35">
      <c r="B95" s="4" t="s">
        <v>146</v>
      </c>
      <c r="C95" s="4" t="s">
        <v>107</v>
      </c>
      <c r="D95" s="5" t="s">
        <v>113</v>
      </c>
      <c r="E95" s="6">
        <v>24</v>
      </c>
      <c r="F95" s="6" t="s">
        <v>0</v>
      </c>
      <c r="G95" s="6">
        <v>3.6</v>
      </c>
      <c r="H95" s="7">
        <f>G95*E95</f>
        <v>86.4</v>
      </c>
      <c r="I95" s="7" t="s">
        <v>117</v>
      </c>
    </row>
    <row r="96" spans="2:9" x14ac:dyDescent="0.35">
      <c r="B96" s="4" t="s">
        <v>146</v>
      </c>
      <c r="C96" s="4" t="s">
        <v>107</v>
      </c>
      <c r="D96" s="5" t="s">
        <v>113</v>
      </c>
      <c r="E96" s="6">
        <v>24</v>
      </c>
      <c r="F96" s="6" t="s">
        <v>0</v>
      </c>
      <c r="G96" s="6">
        <v>3.6</v>
      </c>
      <c r="H96" s="7">
        <f>G96*E96</f>
        <v>86.4</v>
      </c>
      <c r="I96" s="7" t="s">
        <v>117</v>
      </c>
    </row>
    <row r="97" spans="2:9" x14ac:dyDescent="0.35">
      <c r="B97" s="4" t="s">
        <v>146</v>
      </c>
      <c r="C97" s="4" t="s">
        <v>107</v>
      </c>
      <c r="D97" s="5" t="s">
        <v>113</v>
      </c>
      <c r="E97" s="6">
        <v>12</v>
      </c>
      <c r="F97" s="6" t="s">
        <v>0</v>
      </c>
      <c r="G97" s="6">
        <v>3.6</v>
      </c>
      <c r="H97" s="7">
        <f>G97*E97</f>
        <v>43.2</v>
      </c>
      <c r="I97" s="7" t="s">
        <v>117</v>
      </c>
    </row>
    <row r="98" spans="2:9" x14ac:dyDescent="0.35">
      <c r="B98" s="4" t="s">
        <v>146</v>
      </c>
      <c r="C98" s="4" t="s">
        <v>107</v>
      </c>
      <c r="D98" s="5" t="s">
        <v>113</v>
      </c>
      <c r="E98" s="6">
        <v>12</v>
      </c>
      <c r="F98" s="6" t="s">
        <v>0</v>
      </c>
      <c r="G98" s="6">
        <v>3.6</v>
      </c>
      <c r="H98" s="7">
        <f>G98*E98</f>
        <v>43.2</v>
      </c>
      <c r="I98" s="7" t="s">
        <v>117</v>
      </c>
    </row>
    <row r="99" spans="2:9" x14ac:dyDescent="0.35">
      <c r="B99" s="4" t="s">
        <v>155</v>
      </c>
      <c r="C99" s="4" t="s">
        <v>20</v>
      </c>
      <c r="D99" s="5" t="s">
        <v>118</v>
      </c>
      <c r="E99" s="6">
        <v>1</v>
      </c>
      <c r="F99" s="6" t="s">
        <v>2</v>
      </c>
      <c r="G99" s="6">
        <v>2245.8000000000002</v>
      </c>
      <c r="H99" s="7">
        <f>G99*E99</f>
        <v>2245.8000000000002</v>
      </c>
      <c r="I99" s="7" t="s">
        <v>145</v>
      </c>
    </row>
    <row r="100" spans="2:9" x14ac:dyDescent="0.35">
      <c r="B100" s="4" t="s">
        <v>157</v>
      </c>
      <c r="C100" s="4" t="s">
        <v>29</v>
      </c>
      <c r="D100" s="5" t="s">
        <v>118</v>
      </c>
      <c r="E100" s="6">
        <v>0.45</v>
      </c>
      <c r="F100" s="6" t="s">
        <v>0</v>
      </c>
      <c r="G100" s="6">
        <v>153</v>
      </c>
      <c r="H100" s="7">
        <f>G100*E100</f>
        <v>68.850000000000009</v>
      </c>
      <c r="I100" s="7" t="s">
        <v>145</v>
      </c>
    </row>
    <row r="101" spans="2:9" x14ac:dyDescent="0.35">
      <c r="B101" s="4" t="s">
        <v>165</v>
      </c>
      <c r="C101" s="4" t="s">
        <v>89</v>
      </c>
      <c r="D101" s="5" t="s">
        <v>118</v>
      </c>
      <c r="E101" s="6">
        <v>0.75</v>
      </c>
      <c r="F101" s="6" t="s">
        <v>11</v>
      </c>
      <c r="G101" s="6">
        <v>320</v>
      </c>
      <c r="H101" s="7">
        <f>G101*E101</f>
        <v>240</v>
      </c>
      <c r="I101" s="7" t="s">
        <v>145</v>
      </c>
    </row>
    <row r="102" spans="2:9" x14ac:dyDescent="0.35">
      <c r="B102" s="4" t="s">
        <v>165</v>
      </c>
      <c r="C102" s="4" t="s">
        <v>89</v>
      </c>
      <c r="D102" s="5" t="s">
        <v>118</v>
      </c>
      <c r="E102" s="6">
        <v>1.5</v>
      </c>
      <c r="F102" s="6" t="s">
        <v>11</v>
      </c>
      <c r="G102" s="6">
        <v>320</v>
      </c>
      <c r="H102" s="7">
        <f>G102*E102</f>
        <v>480</v>
      </c>
      <c r="I102" s="7" t="s">
        <v>145</v>
      </c>
    </row>
    <row r="103" spans="2:9" x14ac:dyDescent="0.35">
      <c r="B103" s="4" t="s">
        <v>32</v>
      </c>
      <c r="C103" s="4" t="s">
        <v>33</v>
      </c>
      <c r="D103" s="5" t="s">
        <v>118</v>
      </c>
      <c r="E103" s="6">
        <v>4</v>
      </c>
      <c r="F103" s="6" t="s">
        <v>34</v>
      </c>
      <c r="G103" s="6">
        <v>1223</v>
      </c>
      <c r="H103" s="7">
        <f>G103*E103</f>
        <v>4892</v>
      </c>
      <c r="I103" s="7" t="s">
        <v>145</v>
      </c>
    </row>
    <row r="104" spans="2:9" x14ac:dyDescent="0.35">
      <c r="B104" s="4" t="s">
        <v>68</v>
      </c>
      <c r="C104" s="4" t="s">
        <v>69</v>
      </c>
      <c r="D104" s="5" t="s">
        <v>118</v>
      </c>
      <c r="E104" s="6">
        <v>4</v>
      </c>
      <c r="F104" s="6" t="s">
        <v>2</v>
      </c>
      <c r="G104" s="6">
        <v>4</v>
      </c>
      <c r="H104" s="7">
        <f>G104*E104</f>
        <v>16</v>
      </c>
      <c r="I104" s="7" t="s">
        <v>145</v>
      </c>
    </row>
    <row r="105" spans="2:9" x14ac:dyDescent="0.35">
      <c r="B105" s="4" t="s">
        <v>168</v>
      </c>
      <c r="C105" s="4" t="s">
        <v>72</v>
      </c>
      <c r="D105" s="5" t="s">
        <v>118</v>
      </c>
      <c r="E105" s="6">
        <v>6</v>
      </c>
      <c r="F105" s="6" t="s">
        <v>2</v>
      </c>
      <c r="G105" s="6">
        <v>2.2000000000000002</v>
      </c>
      <c r="H105" s="7">
        <f>G105*E105</f>
        <v>13.200000000000001</v>
      </c>
      <c r="I105" s="7" t="s">
        <v>145</v>
      </c>
    </row>
    <row r="106" spans="2:9" x14ac:dyDescent="0.35">
      <c r="B106" s="4" t="s">
        <v>168</v>
      </c>
      <c r="C106" s="4" t="s">
        <v>72</v>
      </c>
      <c r="D106" s="5" t="s">
        <v>118</v>
      </c>
      <c r="E106" s="6">
        <v>8</v>
      </c>
      <c r="F106" s="6" t="s">
        <v>2</v>
      </c>
      <c r="G106" s="6">
        <v>2.2000000000000002</v>
      </c>
      <c r="H106" s="7">
        <f>G106*E106</f>
        <v>17.600000000000001</v>
      </c>
      <c r="I106" s="7" t="s">
        <v>145</v>
      </c>
    </row>
    <row r="107" spans="2:9" x14ac:dyDescent="0.35">
      <c r="B107" s="4" t="s">
        <v>156</v>
      </c>
      <c r="C107" s="4" t="s">
        <v>25</v>
      </c>
      <c r="D107" s="5" t="s">
        <v>118</v>
      </c>
      <c r="E107" s="6">
        <v>2</v>
      </c>
      <c r="F107" s="6" t="s">
        <v>2</v>
      </c>
      <c r="G107" s="6">
        <v>23</v>
      </c>
      <c r="H107" s="7">
        <f>G107*E107</f>
        <v>46</v>
      </c>
      <c r="I107" s="7" t="s">
        <v>145</v>
      </c>
    </row>
    <row r="108" spans="2:9" x14ac:dyDescent="0.35">
      <c r="B108" s="4" t="s">
        <v>24</v>
      </c>
      <c r="C108" s="4" t="s">
        <v>25</v>
      </c>
      <c r="D108" s="5" t="s">
        <v>118</v>
      </c>
      <c r="E108" s="6">
        <v>1</v>
      </c>
      <c r="F108" s="6" t="s">
        <v>2</v>
      </c>
      <c r="G108" s="6">
        <v>23</v>
      </c>
      <c r="H108" s="7">
        <f>E108*G108</f>
        <v>23</v>
      </c>
      <c r="I108" s="7" t="s">
        <v>145</v>
      </c>
    </row>
    <row r="109" spans="2:9" x14ac:dyDescent="0.35">
      <c r="B109" s="4" t="s">
        <v>35</v>
      </c>
      <c r="C109" s="4" t="s">
        <v>36</v>
      </c>
      <c r="D109" s="5" t="s">
        <v>118</v>
      </c>
      <c r="E109" s="6">
        <v>4</v>
      </c>
      <c r="F109" s="6" t="s">
        <v>34</v>
      </c>
      <c r="G109" s="6">
        <v>649</v>
      </c>
      <c r="H109" s="7">
        <f>G109*E109</f>
        <v>2596</v>
      </c>
      <c r="I109" s="7" t="s">
        <v>145</v>
      </c>
    </row>
    <row r="110" spans="2:9" x14ac:dyDescent="0.35">
      <c r="B110" s="4" t="s">
        <v>159</v>
      </c>
      <c r="C110" s="4" t="s">
        <v>39</v>
      </c>
      <c r="D110" s="5" t="s">
        <v>118</v>
      </c>
      <c r="E110" s="6">
        <v>200</v>
      </c>
      <c r="F110" s="6" t="s">
        <v>2</v>
      </c>
      <c r="G110" s="6">
        <v>1.2</v>
      </c>
      <c r="H110" s="7">
        <f>G110*E110</f>
        <v>240</v>
      </c>
      <c r="I110" s="7" t="s">
        <v>145</v>
      </c>
    </row>
    <row r="111" spans="2:9" x14ac:dyDescent="0.35">
      <c r="B111" s="4" t="s">
        <v>159</v>
      </c>
      <c r="C111" s="4" t="s">
        <v>39</v>
      </c>
      <c r="D111" s="5" t="s">
        <v>118</v>
      </c>
      <c r="E111" s="6">
        <v>50</v>
      </c>
      <c r="F111" s="6" t="s">
        <v>2</v>
      </c>
      <c r="G111" s="6">
        <v>1.2</v>
      </c>
      <c r="H111" s="7">
        <f>G111*E111</f>
        <v>60</v>
      </c>
      <c r="I111" s="7" t="s">
        <v>145</v>
      </c>
    </row>
    <row r="112" spans="2:9" x14ac:dyDescent="0.35">
      <c r="B112" s="4" t="s">
        <v>159</v>
      </c>
      <c r="C112" s="4" t="s">
        <v>39</v>
      </c>
      <c r="D112" s="5" t="s">
        <v>118</v>
      </c>
      <c r="E112" s="6">
        <v>100</v>
      </c>
      <c r="F112" s="6" t="s">
        <v>2</v>
      </c>
      <c r="G112" s="6">
        <v>1.2</v>
      </c>
      <c r="H112" s="7">
        <f>G112*E112</f>
        <v>120</v>
      </c>
      <c r="I112" s="7" t="s">
        <v>145</v>
      </c>
    </row>
    <row r="113" spans="2:9" x14ac:dyDescent="0.35">
      <c r="B113" s="4" t="s">
        <v>160</v>
      </c>
      <c r="C113" s="4" t="s">
        <v>38</v>
      </c>
      <c r="D113" s="5" t="s">
        <v>118</v>
      </c>
      <c r="E113" s="6">
        <v>20</v>
      </c>
      <c r="F113" s="6" t="s">
        <v>2</v>
      </c>
      <c r="G113" s="6">
        <v>1.7</v>
      </c>
      <c r="H113" s="7">
        <f>G113*E113</f>
        <v>34</v>
      </c>
      <c r="I113" s="7" t="s">
        <v>145</v>
      </c>
    </row>
    <row r="114" spans="2:9" x14ac:dyDescent="0.35">
      <c r="B114" s="4" t="s">
        <v>160</v>
      </c>
      <c r="C114" s="4" t="s">
        <v>38</v>
      </c>
      <c r="D114" s="5" t="s">
        <v>118</v>
      </c>
      <c r="E114" s="6">
        <v>90</v>
      </c>
      <c r="F114" s="6" t="s">
        <v>2</v>
      </c>
      <c r="G114" s="6">
        <v>1.7</v>
      </c>
      <c r="H114" s="7">
        <f>G114*E114</f>
        <v>153</v>
      </c>
      <c r="I114" s="7" t="s">
        <v>145</v>
      </c>
    </row>
    <row r="115" spans="2:9" x14ac:dyDescent="0.35">
      <c r="B115" s="4" t="s">
        <v>162</v>
      </c>
      <c r="C115" s="4" t="s">
        <v>38</v>
      </c>
      <c r="D115" s="5" t="s">
        <v>118</v>
      </c>
      <c r="E115" s="6">
        <v>30</v>
      </c>
      <c r="F115" s="6" t="s">
        <v>2</v>
      </c>
      <c r="G115" s="6">
        <v>1.7</v>
      </c>
      <c r="H115" s="7">
        <f>G115*E115</f>
        <v>51</v>
      </c>
      <c r="I115" s="7" t="s">
        <v>145</v>
      </c>
    </row>
    <row r="116" spans="2:9" x14ac:dyDescent="0.35">
      <c r="B116" s="4" t="s">
        <v>170</v>
      </c>
      <c r="C116" s="4" t="s">
        <v>42</v>
      </c>
      <c r="D116" s="5" t="s">
        <v>118</v>
      </c>
      <c r="E116" s="6">
        <v>1</v>
      </c>
      <c r="F116" s="6" t="s">
        <v>2</v>
      </c>
      <c r="G116" s="6">
        <v>78</v>
      </c>
      <c r="H116" s="7">
        <f>G116*E116</f>
        <v>78</v>
      </c>
      <c r="I116" s="7" t="s">
        <v>145</v>
      </c>
    </row>
    <row r="117" spans="2:9" x14ac:dyDescent="0.35">
      <c r="B117" s="4" t="s">
        <v>158</v>
      </c>
      <c r="C117" s="4" t="s">
        <v>40</v>
      </c>
      <c r="D117" s="5" t="s">
        <v>118</v>
      </c>
      <c r="E117" s="6">
        <v>1</v>
      </c>
      <c r="F117" s="6" t="s">
        <v>41</v>
      </c>
      <c r="G117" s="6">
        <v>150</v>
      </c>
      <c r="H117" s="7">
        <f>G117*E117</f>
        <v>150</v>
      </c>
      <c r="I117" s="7" t="s">
        <v>145</v>
      </c>
    </row>
    <row r="118" spans="2:9" x14ac:dyDescent="0.35">
      <c r="B118" s="4" t="s">
        <v>49</v>
      </c>
      <c r="C118" s="4" t="s">
        <v>50</v>
      </c>
      <c r="D118" s="5" t="s">
        <v>118</v>
      </c>
      <c r="E118" s="6">
        <v>1</v>
      </c>
      <c r="F118" s="6" t="s">
        <v>41</v>
      </c>
      <c r="G118" s="6">
        <v>140</v>
      </c>
      <c r="H118" s="7">
        <f>G118*E118</f>
        <v>140</v>
      </c>
      <c r="I118" s="7" t="s">
        <v>145</v>
      </c>
    </row>
    <row r="119" spans="2:9" x14ac:dyDescent="0.35">
      <c r="B119" s="4" t="s">
        <v>177</v>
      </c>
      <c r="C119" s="4" t="s">
        <v>176</v>
      </c>
      <c r="D119" s="5" t="s">
        <v>113</v>
      </c>
      <c r="E119" s="6">
        <v>1</v>
      </c>
      <c r="F119" s="6" t="s">
        <v>2</v>
      </c>
      <c r="G119" s="6">
        <v>168</v>
      </c>
      <c r="H119" s="7">
        <f>G119*E119</f>
        <v>168</v>
      </c>
      <c r="I119" s="7" t="s">
        <v>174</v>
      </c>
    </row>
    <row r="120" spans="2:9" x14ac:dyDescent="0.35">
      <c r="B120" s="4" t="s">
        <v>203</v>
      </c>
      <c r="C120" s="4" t="s">
        <v>202</v>
      </c>
      <c r="D120" s="5" t="s">
        <v>118</v>
      </c>
      <c r="E120" s="6">
        <v>60</v>
      </c>
      <c r="F120" s="6" t="s">
        <v>0</v>
      </c>
      <c r="G120" s="6">
        <v>343</v>
      </c>
      <c r="H120" s="7">
        <f>G120*E120</f>
        <v>20580</v>
      </c>
      <c r="I120" s="7" t="s">
        <v>145</v>
      </c>
    </row>
    <row r="121" spans="2:9" x14ac:dyDescent="0.35">
      <c r="B121" s="4" t="s">
        <v>203</v>
      </c>
      <c r="C121" s="4" t="s">
        <v>202</v>
      </c>
      <c r="D121" s="5" t="s">
        <v>118</v>
      </c>
      <c r="E121" s="6">
        <v>30</v>
      </c>
      <c r="F121" s="6" t="s">
        <v>0</v>
      </c>
      <c r="G121" s="6">
        <v>343</v>
      </c>
      <c r="H121" s="7">
        <f t="shared" ref="H121:H123" si="0">G121*E121</f>
        <v>10290</v>
      </c>
      <c r="I121" s="7" t="s">
        <v>145</v>
      </c>
    </row>
    <row r="122" spans="2:9" x14ac:dyDescent="0.35">
      <c r="B122" s="4" t="s">
        <v>203</v>
      </c>
      <c r="C122" s="4" t="s">
        <v>202</v>
      </c>
      <c r="D122" s="5" t="s">
        <v>118</v>
      </c>
      <c r="E122" s="6">
        <v>60</v>
      </c>
      <c r="F122" s="6" t="s">
        <v>0</v>
      </c>
      <c r="G122" s="6">
        <v>343</v>
      </c>
      <c r="H122" s="7">
        <f t="shared" si="0"/>
        <v>20580</v>
      </c>
      <c r="I122" s="7" t="s">
        <v>145</v>
      </c>
    </row>
    <row r="123" spans="2:9" x14ac:dyDescent="0.35">
      <c r="B123" s="4" t="s">
        <v>203</v>
      </c>
      <c r="C123" s="4" t="s">
        <v>202</v>
      </c>
      <c r="D123" s="5" t="s">
        <v>118</v>
      </c>
      <c r="E123" s="6">
        <v>60</v>
      </c>
      <c r="F123" s="6" t="s">
        <v>0</v>
      </c>
      <c r="G123" s="6">
        <v>343</v>
      </c>
      <c r="H123" s="7">
        <f t="shared" si="0"/>
        <v>20580</v>
      </c>
      <c r="I123" s="7" t="s">
        <v>145</v>
      </c>
    </row>
    <row r="124" spans="2:9" x14ac:dyDescent="0.35">
      <c r="B124" s="4" t="s">
        <v>114</v>
      </c>
      <c r="C124" s="4" t="s">
        <v>106</v>
      </c>
      <c r="D124" s="5" t="s">
        <v>113</v>
      </c>
      <c r="E124" s="6">
        <v>15</v>
      </c>
      <c r="F124" s="6" t="s">
        <v>0</v>
      </c>
      <c r="G124" s="6">
        <v>440</v>
      </c>
      <c r="H124" s="7">
        <f>E124*G124</f>
        <v>6600</v>
      </c>
      <c r="I124" s="7" t="s">
        <v>112</v>
      </c>
    </row>
    <row r="125" spans="2:9" x14ac:dyDescent="0.35">
      <c r="B125" s="4" t="s">
        <v>114</v>
      </c>
      <c r="C125" s="4" t="s">
        <v>106</v>
      </c>
      <c r="D125" s="5" t="s">
        <v>113</v>
      </c>
      <c r="E125" s="6">
        <v>30</v>
      </c>
      <c r="F125" s="6" t="s">
        <v>0</v>
      </c>
      <c r="G125" s="6">
        <v>440</v>
      </c>
      <c r="H125" s="7">
        <f>E125*G125</f>
        <v>13200</v>
      </c>
      <c r="I125" s="7" t="s">
        <v>112</v>
      </c>
    </row>
    <row r="126" spans="2:9" x14ac:dyDescent="0.35">
      <c r="B126" s="4" t="s">
        <v>114</v>
      </c>
      <c r="C126" s="4" t="s">
        <v>106</v>
      </c>
      <c r="D126" s="5" t="s">
        <v>113</v>
      </c>
      <c r="E126" s="6">
        <v>20</v>
      </c>
      <c r="F126" s="6" t="s">
        <v>0</v>
      </c>
      <c r="G126" s="6">
        <v>440</v>
      </c>
      <c r="H126" s="7">
        <f>E126*G126</f>
        <v>8800</v>
      </c>
      <c r="I126" s="7" t="s">
        <v>112</v>
      </c>
    </row>
    <row r="127" spans="2:9" x14ac:dyDescent="0.35">
      <c r="B127" s="4" t="s">
        <v>114</v>
      </c>
      <c r="C127" s="4" t="s">
        <v>106</v>
      </c>
      <c r="D127" s="5" t="s">
        <v>113</v>
      </c>
      <c r="E127" s="6">
        <v>20</v>
      </c>
      <c r="F127" s="6" t="s">
        <v>0</v>
      </c>
      <c r="G127" s="6">
        <v>440</v>
      </c>
      <c r="H127" s="7">
        <f>E127*G127</f>
        <v>8800</v>
      </c>
      <c r="I127" s="7" t="s">
        <v>112</v>
      </c>
    </row>
    <row r="128" spans="2:9" x14ac:dyDescent="0.35">
      <c r="B128" s="4" t="s">
        <v>114</v>
      </c>
      <c r="C128" s="4" t="s">
        <v>106</v>
      </c>
      <c r="D128" s="5" t="s">
        <v>113</v>
      </c>
      <c r="E128" s="6">
        <v>30</v>
      </c>
      <c r="F128" s="6" t="s">
        <v>0</v>
      </c>
      <c r="G128" s="6">
        <v>440</v>
      </c>
      <c r="H128" s="7">
        <f>E128*G128</f>
        <v>13200</v>
      </c>
      <c r="I128" s="7" t="s">
        <v>112</v>
      </c>
    </row>
    <row r="129" spans="2:9" x14ac:dyDescent="0.35">
      <c r="B129" s="4" t="s">
        <v>114</v>
      </c>
      <c r="C129" s="4" t="s">
        <v>106</v>
      </c>
      <c r="D129" s="5" t="s">
        <v>113</v>
      </c>
      <c r="E129" s="6">
        <v>8</v>
      </c>
      <c r="F129" s="6" t="s">
        <v>0</v>
      </c>
      <c r="G129" s="6">
        <v>440</v>
      </c>
      <c r="H129" s="7">
        <f>E129*G129</f>
        <v>3520</v>
      </c>
      <c r="I129" s="7" t="s">
        <v>112</v>
      </c>
    </row>
    <row r="130" spans="2:9" x14ac:dyDescent="0.35">
      <c r="B130" s="4" t="s">
        <v>114</v>
      </c>
      <c r="C130" s="4" t="s">
        <v>106</v>
      </c>
      <c r="D130" s="5" t="s">
        <v>113</v>
      </c>
      <c r="E130" s="6">
        <v>4</v>
      </c>
      <c r="F130" s="6" t="s">
        <v>0</v>
      </c>
      <c r="G130" s="6">
        <v>440</v>
      </c>
      <c r="H130" s="7">
        <f>E130*G130</f>
        <v>1760</v>
      </c>
      <c r="I130" s="7" t="s">
        <v>112</v>
      </c>
    </row>
    <row r="131" spans="2:9" x14ac:dyDescent="0.35">
      <c r="B131" s="4" t="s">
        <v>114</v>
      </c>
      <c r="C131" s="4" t="s">
        <v>106</v>
      </c>
      <c r="D131" s="5" t="s">
        <v>113</v>
      </c>
      <c r="E131" s="6">
        <v>8</v>
      </c>
      <c r="F131" s="6" t="s">
        <v>0</v>
      </c>
      <c r="G131" s="6">
        <v>440</v>
      </c>
      <c r="H131" s="7">
        <f>E131*G131</f>
        <v>3520</v>
      </c>
      <c r="I131" s="7" t="s">
        <v>112</v>
      </c>
    </row>
    <row r="132" spans="2:9" x14ac:dyDescent="0.35">
      <c r="B132" s="4" t="s">
        <v>114</v>
      </c>
      <c r="C132" s="4" t="s">
        <v>106</v>
      </c>
      <c r="D132" s="5" t="s">
        <v>113</v>
      </c>
      <c r="E132" s="6">
        <v>10</v>
      </c>
      <c r="F132" s="6" t="s">
        <v>0</v>
      </c>
      <c r="G132" s="6">
        <v>440</v>
      </c>
      <c r="H132" s="7">
        <f>E132*G132</f>
        <v>4400</v>
      </c>
      <c r="I132" s="7" t="s">
        <v>112</v>
      </c>
    </row>
    <row r="133" spans="2:9" x14ac:dyDescent="0.35">
      <c r="B133" s="4" t="s">
        <v>114</v>
      </c>
      <c r="C133" s="4" t="s">
        <v>106</v>
      </c>
      <c r="D133" s="5" t="s">
        <v>113</v>
      </c>
      <c r="E133" s="6">
        <v>10</v>
      </c>
      <c r="F133" s="6" t="s">
        <v>0</v>
      </c>
      <c r="G133" s="6">
        <v>440</v>
      </c>
      <c r="H133" s="7">
        <f>E133*G133</f>
        <v>4400</v>
      </c>
      <c r="I133" s="7" t="s">
        <v>112</v>
      </c>
    </row>
    <row r="134" spans="2:9" x14ac:dyDescent="0.35">
      <c r="B134" s="4" t="s">
        <v>55</v>
      </c>
      <c r="C134" s="4" t="s">
        <v>123</v>
      </c>
      <c r="D134" s="5" t="s">
        <v>118</v>
      </c>
      <c r="E134" s="6">
        <v>0.3</v>
      </c>
      <c r="F134" s="6" t="s">
        <v>45</v>
      </c>
      <c r="G134" s="6">
        <v>254</v>
      </c>
      <c r="H134" s="7">
        <f>G134*E134</f>
        <v>76.2</v>
      </c>
      <c r="I134" s="7" t="s">
        <v>145</v>
      </c>
    </row>
    <row r="135" spans="2:9" x14ac:dyDescent="0.35">
      <c r="B135" s="4" t="s">
        <v>204</v>
      </c>
      <c r="C135" s="4" t="s">
        <v>18</v>
      </c>
      <c r="D135" s="5" t="s">
        <v>118</v>
      </c>
      <c r="E135" s="6">
        <v>2</v>
      </c>
      <c r="F135" s="6" t="s">
        <v>2</v>
      </c>
      <c r="G135" s="6">
        <v>65</v>
      </c>
      <c r="H135" s="7">
        <f>G135*E135</f>
        <v>130</v>
      </c>
      <c r="I135" s="7" t="s">
        <v>145</v>
      </c>
    </row>
    <row r="136" spans="2:9" x14ac:dyDescent="0.35">
      <c r="B136" s="4" t="s">
        <v>204</v>
      </c>
      <c r="C136" s="4" t="s">
        <v>18</v>
      </c>
      <c r="D136" s="5" t="s">
        <v>118</v>
      </c>
      <c r="E136" s="6">
        <v>2</v>
      </c>
      <c r="F136" s="6" t="s">
        <v>2</v>
      </c>
      <c r="G136" s="6">
        <v>65</v>
      </c>
      <c r="H136" s="7">
        <f t="shared" ref="H136:H146" si="1">G136*E136</f>
        <v>130</v>
      </c>
      <c r="I136" s="7" t="s">
        <v>145</v>
      </c>
    </row>
    <row r="137" spans="2:9" x14ac:dyDescent="0.35">
      <c r="B137" s="4" t="s">
        <v>204</v>
      </c>
      <c r="C137" s="4" t="s">
        <v>18</v>
      </c>
      <c r="D137" s="5" t="s">
        <v>118</v>
      </c>
      <c r="E137" s="6">
        <v>2</v>
      </c>
      <c r="F137" s="6" t="s">
        <v>2</v>
      </c>
      <c r="G137" s="6">
        <v>65</v>
      </c>
      <c r="H137" s="7">
        <f t="shared" si="1"/>
        <v>130</v>
      </c>
      <c r="I137" s="7" t="s">
        <v>145</v>
      </c>
    </row>
    <row r="138" spans="2:9" x14ac:dyDescent="0.35">
      <c r="B138" s="4" t="s">
        <v>204</v>
      </c>
      <c r="C138" s="4" t="s">
        <v>18</v>
      </c>
      <c r="D138" s="5" t="s">
        <v>118</v>
      </c>
      <c r="E138" s="6">
        <v>1</v>
      </c>
      <c r="F138" s="6" t="s">
        <v>2</v>
      </c>
      <c r="G138" s="6">
        <v>65</v>
      </c>
      <c r="H138" s="7">
        <f t="shared" si="1"/>
        <v>65</v>
      </c>
      <c r="I138" s="7" t="s">
        <v>145</v>
      </c>
    </row>
    <row r="139" spans="2:9" x14ac:dyDescent="0.35">
      <c r="B139" s="4" t="s">
        <v>204</v>
      </c>
      <c r="C139" s="4" t="s">
        <v>18</v>
      </c>
      <c r="D139" s="5" t="s">
        <v>118</v>
      </c>
      <c r="E139" s="6">
        <v>1</v>
      </c>
      <c r="F139" s="6" t="s">
        <v>2</v>
      </c>
      <c r="G139" s="6">
        <v>65</v>
      </c>
      <c r="H139" s="7">
        <f t="shared" si="1"/>
        <v>65</v>
      </c>
      <c r="I139" s="7" t="s">
        <v>145</v>
      </c>
    </row>
    <row r="140" spans="2:9" x14ac:dyDescent="0.35">
      <c r="B140" s="4" t="s">
        <v>204</v>
      </c>
      <c r="C140" s="4" t="s">
        <v>18</v>
      </c>
      <c r="D140" s="5" t="s">
        <v>118</v>
      </c>
      <c r="E140" s="6">
        <v>1</v>
      </c>
      <c r="F140" s="6" t="s">
        <v>2</v>
      </c>
      <c r="G140" s="6">
        <v>65</v>
      </c>
      <c r="H140" s="7">
        <f t="shared" si="1"/>
        <v>65</v>
      </c>
      <c r="I140" s="7" t="s">
        <v>145</v>
      </c>
    </row>
    <row r="141" spans="2:9" x14ac:dyDescent="0.35">
      <c r="B141" s="4" t="s">
        <v>204</v>
      </c>
      <c r="C141" s="4" t="s">
        <v>18</v>
      </c>
      <c r="D141" s="5" t="s">
        <v>118</v>
      </c>
      <c r="E141" s="6">
        <v>2</v>
      </c>
      <c r="F141" s="6" t="s">
        <v>2</v>
      </c>
      <c r="G141" s="6">
        <v>65</v>
      </c>
      <c r="H141" s="7">
        <f t="shared" si="1"/>
        <v>130</v>
      </c>
      <c r="I141" s="7" t="s">
        <v>145</v>
      </c>
    </row>
    <row r="142" spans="2:9" x14ac:dyDescent="0.35">
      <c r="B142" s="4" t="s">
        <v>204</v>
      </c>
      <c r="C142" s="4" t="s">
        <v>18</v>
      </c>
      <c r="D142" s="5" t="s">
        <v>118</v>
      </c>
      <c r="E142" s="6">
        <v>2</v>
      </c>
      <c r="F142" s="6" t="s">
        <v>2</v>
      </c>
      <c r="G142" s="6">
        <v>65</v>
      </c>
      <c r="H142" s="7">
        <f t="shared" si="1"/>
        <v>130</v>
      </c>
      <c r="I142" s="7" t="s">
        <v>145</v>
      </c>
    </row>
    <row r="143" spans="2:9" x14ac:dyDescent="0.35">
      <c r="B143" s="4" t="s">
        <v>204</v>
      </c>
      <c r="C143" s="4" t="s">
        <v>18</v>
      </c>
      <c r="D143" s="5" t="s">
        <v>118</v>
      </c>
      <c r="E143" s="6">
        <v>1</v>
      </c>
      <c r="F143" s="6" t="s">
        <v>2</v>
      </c>
      <c r="G143" s="6">
        <v>65</v>
      </c>
      <c r="H143" s="7">
        <f t="shared" si="1"/>
        <v>65</v>
      </c>
      <c r="I143" s="7" t="s">
        <v>145</v>
      </c>
    </row>
    <row r="144" spans="2:9" x14ac:dyDescent="0.35">
      <c r="B144" s="4" t="s">
        <v>183</v>
      </c>
      <c r="C144" s="4" t="s">
        <v>90</v>
      </c>
      <c r="D144" s="5" t="s">
        <v>118</v>
      </c>
      <c r="E144" s="6">
        <v>0.75</v>
      </c>
      <c r="F144" s="6" t="s">
        <v>11</v>
      </c>
      <c r="G144" s="6">
        <v>454</v>
      </c>
      <c r="H144" s="7">
        <f t="shared" si="1"/>
        <v>340.5</v>
      </c>
      <c r="I144" s="7" t="s">
        <v>145</v>
      </c>
    </row>
    <row r="145" spans="2:9" x14ac:dyDescent="0.35">
      <c r="B145" s="4" t="s">
        <v>183</v>
      </c>
      <c r="C145" s="4" t="s">
        <v>90</v>
      </c>
      <c r="D145" s="5" t="s">
        <v>118</v>
      </c>
      <c r="E145" s="6">
        <v>1.5</v>
      </c>
      <c r="F145" s="6" t="s">
        <v>11</v>
      </c>
      <c r="G145" s="6">
        <v>454</v>
      </c>
      <c r="H145" s="7">
        <f t="shared" si="1"/>
        <v>681</v>
      </c>
      <c r="I145" s="7" t="s">
        <v>145</v>
      </c>
    </row>
    <row r="146" spans="2:9" x14ac:dyDescent="0.35">
      <c r="B146" s="4" t="s">
        <v>183</v>
      </c>
      <c r="C146" s="4" t="s">
        <v>90</v>
      </c>
      <c r="D146" s="5" t="s">
        <v>118</v>
      </c>
      <c r="E146" s="6">
        <v>1</v>
      </c>
      <c r="F146" s="6" t="s">
        <v>11</v>
      </c>
      <c r="G146" s="6">
        <v>454</v>
      </c>
      <c r="H146" s="7">
        <f t="shared" si="1"/>
        <v>454</v>
      </c>
      <c r="I146" s="7" t="s">
        <v>145</v>
      </c>
    </row>
    <row r="147" spans="2:9" x14ac:dyDescent="0.35">
      <c r="B147" s="4" t="s">
        <v>183</v>
      </c>
      <c r="C147" s="4" t="s">
        <v>90</v>
      </c>
      <c r="D147" s="5" t="s">
        <v>118</v>
      </c>
      <c r="E147" s="6">
        <v>0.5</v>
      </c>
      <c r="F147" s="6" t="s">
        <v>11</v>
      </c>
      <c r="G147" s="6">
        <v>454</v>
      </c>
      <c r="H147" s="7">
        <f>G147*E147</f>
        <v>227</v>
      </c>
      <c r="I147" s="7" t="s">
        <v>145</v>
      </c>
    </row>
    <row r="148" spans="2:9" x14ac:dyDescent="0.35">
      <c r="B148" s="4" t="s">
        <v>166</v>
      </c>
      <c r="C148" s="4" t="s">
        <v>95</v>
      </c>
      <c r="D148" s="5" t="s">
        <v>118</v>
      </c>
      <c r="E148" s="6">
        <v>1</v>
      </c>
      <c r="F148" s="6" t="s">
        <v>2</v>
      </c>
      <c r="G148" s="6">
        <v>370</v>
      </c>
      <c r="H148" s="7">
        <f>G148*E148</f>
        <v>370</v>
      </c>
      <c r="I148" s="7" t="s">
        <v>145</v>
      </c>
    </row>
    <row r="149" spans="2:9" x14ac:dyDescent="0.35">
      <c r="B149" s="4" t="s">
        <v>166</v>
      </c>
      <c r="C149" s="4" t="s">
        <v>95</v>
      </c>
      <c r="D149" s="5" t="s">
        <v>118</v>
      </c>
      <c r="E149" s="6">
        <v>-1</v>
      </c>
      <c r="F149" s="6" t="s">
        <v>2</v>
      </c>
      <c r="G149" s="6">
        <v>370</v>
      </c>
      <c r="H149" s="7">
        <f>G149*E149</f>
        <v>-370</v>
      </c>
      <c r="I149" s="7" t="s">
        <v>145</v>
      </c>
    </row>
    <row r="150" spans="2:9" x14ac:dyDescent="0.35">
      <c r="B150" s="4" t="s">
        <v>163</v>
      </c>
      <c r="C150" s="4" t="s">
        <v>51</v>
      </c>
      <c r="D150" s="5" t="s">
        <v>118</v>
      </c>
      <c r="E150" s="6">
        <v>1</v>
      </c>
      <c r="F150" s="6" t="s">
        <v>2</v>
      </c>
      <c r="G150" s="6">
        <v>370</v>
      </c>
      <c r="H150" s="7">
        <f>G150*E150</f>
        <v>370</v>
      </c>
      <c r="I150" s="7" t="s">
        <v>145</v>
      </c>
    </row>
    <row r="151" spans="2:9" x14ac:dyDescent="0.35">
      <c r="B151" s="4" t="s">
        <v>163</v>
      </c>
      <c r="C151" s="4" t="s">
        <v>51</v>
      </c>
      <c r="D151" s="5" t="s">
        <v>118</v>
      </c>
      <c r="E151" s="6">
        <v>2</v>
      </c>
      <c r="F151" s="6" t="s">
        <v>2</v>
      </c>
      <c r="G151" s="6">
        <v>370</v>
      </c>
      <c r="H151" s="7">
        <f>G151*E151</f>
        <v>740</v>
      </c>
      <c r="I151" s="7" t="s">
        <v>145</v>
      </c>
    </row>
    <row r="152" spans="2:9" x14ac:dyDescent="0.35">
      <c r="B152" s="4" t="s">
        <v>163</v>
      </c>
      <c r="C152" s="4" t="s">
        <v>51</v>
      </c>
      <c r="D152" s="5" t="s">
        <v>118</v>
      </c>
      <c r="E152" s="6">
        <v>1</v>
      </c>
      <c r="F152" s="6" t="s">
        <v>2</v>
      </c>
      <c r="G152" s="6">
        <v>370</v>
      </c>
      <c r="H152" s="7">
        <f>G152*E152</f>
        <v>370</v>
      </c>
      <c r="I152" s="7" t="s">
        <v>145</v>
      </c>
    </row>
    <row r="153" spans="2:9" x14ac:dyDescent="0.35">
      <c r="B153" s="4" t="s">
        <v>169</v>
      </c>
      <c r="C153" s="4" t="s">
        <v>81</v>
      </c>
      <c r="D153" s="5" t="s">
        <v>118</v>
      </c>
      <c r="E153" s="6">
        <v>1</v>
      </c>
      <c r="F153" s="6" t="s">
        <v>2</v>
      </c>
      <c r="G153" s="6">
        <v>310</v>
      </c>
      <c r="H153" s="7">
        <f>G153*E153</f>
        <v>310</v>
      </c>
      <c r="I153" s="7" t="s">
        <v>145</v>
      </c>
    </row>
    <row r="154" spans="2:9" x14ac:dyDescent="0.35">
      <c r="B154" s="4" t="s">
        <v>194</v>
      </c>
      <c r="C154" s="4" t="s">
        <v>86</v>
      </c>
      <c r="D154" s="5" t="s">
        <v>118</v>
      </c>
      <c r="E154" s="6">
        <v>5</v>
      </c>
      <c r="F154" s="6" t="s">
        <v>2</v>
      </c>
      <c r="G154" s="6">
        <v>4</v>
      </c>
      <c r="H154" s="7">
        <f t="shared" ref="H154:H161" si="2">G154*E154</f>
        <v>20</v>
      </c>
      <c r="I154" s="7" t="s">
        <v>145</v>
      </c>
    </row>
    <row r="155" spans="2:9" x14ac:dyDescent="0.35">
      <c r="B155" s="4" t="s">
        <v>192</v>
      </c>
      <c r="C155" s="4" t="s">
        <v>91</v>
      </c>
      <c r="D155" s="5" t="s">
        <v>113</v>
      </c>
      <c r="E155" s="6">
        <v>1</v>
      </c>
      <c r="F155" s="6" t="s">
        <v>2</v>
      </c>
      <c r="G155" s="6">
        <v>54</v>
      </c>
      <c r="H155" s="7">
        <f t="shared" si="2"/>
        <v>54</v>
      </c>
      <c r="I155" s="7" t="s">
        <v>117</v>
      </c>
    </row>
    <row r="156" spans="2:9" x14ac:dyDescent="0.35">
      <c r="B156" s="4" t="s">
        <v>205</v>
      </c>
      <c r="C156" s="4" t="s">
        <v>67</v>
      </c>
      <c r="D156" s="5" t="s">
        <v>118</v>
      </c>
      <c r="E156" s="6">
        <v>6</v>
      </c>
      <c r="F156" s="6" t="s">
        <v>2</v>
      </c>
      <c r="G156" s="6">
        <v>10.8</v>
      </c>
      <c r="H156" s="7">
        <f t="shared" si="2"/>
        <v>64.800000000000011</v>
      </c>
      <c r="I156" s="7" t="s">
        <v>145</v>
      </c>
    </row>
    <row r="157" spans="2:9" x14ac:dyDescent="0.35">
      <c r="B157" s="4" t="s">
        <v>66</v>
      </c>
      <c r="C157" s="4" t="s">
        <v>67</v>
      </c>
      <c r="D157" s="5" t="s">
        <v>118</v>
      </c>
      <c r="E157" s="6">
        <v>2</v>
      </c>
      <c r="F157" s="6" t="s">
        <v>2</v>
      </c>
      <c r="G157" s="6">
        <v>10.8</v>
      </c>
      <c r="H157" s="7">
        <f t="shared" si="2"/>
        <v>21.6</v>
      </c>
      <c r="I157" s="7" t="s">
        <v>145</v>
      </c>
    </row>
    <row r="158" spans="2:9" x14ac:dyDescent="0.35">
      <c r="B158" s="4" t="s">
        <v>66</v>
      </c>
      <c r="C158" s="4" t="s">
        <v>67</v>
      </c>
      <c r="D158" s="5" t="s">
        <v>118</v>
      </c>
      <c r="E158" s="6">
        <v>2</v>
      </c>
      <c r="F158" s="6" t="s">
        <v>2</v>
      </c>
      <c r="G158" s="6">
        <v>10.8</v>
      </c>
      <c r="H158" s="7">
        <f t="shared" si="2"/>
        <v>21.6</v>
      </c>
      <c r="I158" s="7" t="s">
        <v>145</v>
      </c>
    </row>
    <row r="159" spans="2:9" x14ac:dyDescent="0.35">
      <c r="B159" s="4" t="s">
        <v>188</v>
      </c>
      <c r="C159" s="4" t="s">
        <v>70</v>
      </c>
      <c r="D159" s="5" t="s">
        <v>118</v>
      </c>
      <c r="E159" s="6">
        <v>1</v>
      </c>
      <c r="F159" s="6" t="s">
        <v>2</v>
      </c>
      <c r="G159" s="6">
        <v>121</v>
      </c>
      <c r="H159" s="7">
        <f t="shared" si="2"/>
        <v>121</v>
      </c>
      <c r="I159" s="7" t="s">
        <v>145</v>
      </c>
    </row>
    <row r="160" spans="2:9" x14ac:dyDescent="0.35">
      <c r="B160" s="4" t="s">
        <v>189</v>
      </c>
      <c r="C160" s="4" t="s">
        <v>71</v>
      </c>
      <c r="D160" s="5" t="s">
        <v>118</v>
      </c>
      <c r="E160" s="6">
        <v>1</v>
      </c>
      <c r="F160" s="6" t="s">
        <v>2</v>
      </c>
      <c r="G160" s="6">
        <v>112</v>
      </c>
      <c r="H160" s="7">
        <f t="shared" si="2"/>
        <v>112</v>
      </c>
      <c r="I160" s="7" t="s">
        <v>145</v>
      </c>
    </row>
    <row r="161" spans="2:9" x14ac:dyDescent="0.35">
      <c r="B161" s="4" t="s">
        <v>197</v>
      </c>
      <c r="C161" s="4" t="s">
        <v>212</v>
      </c>
      <c r="D161" s="5" t="s">
        <v>118</v>
      </c>
      <c r="E161" s="6">
        <v>6</v>
      </c>
      <c r="F161" s="6" t="s">
        <v>2</v>
      </c>
      <c r="G161" s="6">
        <v>432</v>
      </c>
      <c r="H161" s="7">
        <f t="shared" si="2"/>
        <v>2592</v>
      </c>
      <c r="I161" s="7" t="s">
        <v>145</v>
      </c>
    </row>
    <row r="162" spans="2:9" x14ac:dyDescent="0.35">
      <c r="B162" s="4" t="s">
        <v>193</v>
      </c>
      <c r="C162" s="4" t="s">
        <v>94</v>
      </c>
      <c r="D162" s="5" t="s">
        <v>118</v>
      </c>
      <c r="E162" s="6">
        <v>6</v>
      </c>
      <c r="F162" s="6" t="s">
        <v>2</v>
      </c>
      <c r="G162" s="6">
        <v>521</v>
      </c>
      <c r="H162" s="7">
        <f>G162*E162</f>
        <v>3126</v>
      </c>
      <c r="I162" s="7" t="s">
        <v>145</v>
      </c>
    </row>
    <row r="163" spans="2:9" x14ac:dyDescent="0.35">
      <c r="B163" s="4" t="s">
        <v>206</v>
      </c>
      <c r="C163" s="4" t="s">
        <v>93</v>
      </c>
      <c r="D163" s="5" t="s">
        <v>118</v>
      </c>
      <c r="E163" s="6">
        <v>12</v>
      </c>
      <c r="F163" s="6" t="s">
        <v>2</v>
      </c>
      <c r="G163" s="6">
        <v>3</v>
      </c>
      <c r="H163" s="7">
        <f>G163*E163</f>
        <v>36</v>
      </c>
      <c r="I163" s="7" t="s">
        <v>145</v>
      </c>
    </row>
    <row r="164" spans="2:9" x14ac:dyDescent="0.35">
      <c r="B164" s="4" t="s">
        <v>207</v>
      </c>
      <c r="C164" s="4" t="s">
        <v>93</v>
      </c>
      <c r="D164" s="5" t="s">
        <v>118</v>
      </c>
      <c r="E164" s="6">
        <v>12</v>
      </c>
      <c r="F164" s="6" t="s">
        <v>2</v>
      </c>
      <c r="G164" s="6">
        <v>4</v>
      </c>
      <c r="H164" s="7">
        <f>G164*E164</f>
        <v>48</v>
      </c>
      <c r="I164" s="7" t="s">
        <v>145</v>
      </c>
    </row>
    <row r="165" spans="2:9" x14ac:dyDescent="0.35">
      <c r="B165" s="4" t="s">
        <v>208</v>
      </c>
      <c r="C165" s="4" t="s">
        <v>56</v>
      </c>
      <c r="D165" s="5" t="s">
        <v>118</v>
      </c>
      <c r="E165" s="6">
        <v>6</v>
      </c>
      <c r="F165" s="6" t="s">
        <v>2</v>
      </c>
      <c r="G165" s="6">
        <v>4.2</v>
      </c>
      <c r="H165" s="7">
        <f>G165*E165</f>
        <v>25.200000000000003</v>
      </c>
      <c r="I165" s="7" t="s">
        <v>145</v>
      </c>
    </row>
    <row r="166" spans="2:9" x14ac:dyDescent="0.35">
      <c r="B166" s="4" t="s">
        <v>209</v>
      </c>
      <c r="C166" s="4" t="s">
        <v>30</v>
      </c>
      <c r="D166" s="5" t="s">
        <v>118</v>
      </c>
      <c r="E166" s="6">
        <v>20</v>
      </c>
      <c r="F166" s="6" t="s">
        <v>2</v>
      </c>
      <c r="G166" s="6">
        <v>3</v>
      </c>
      <c r="H166" s="7">
        <f>G166*E166</f>
        <v>60</v>
      </c>
      <c r="I166" s="7" t="s">
        <v>145</v>
      </c>
    </row>
    <row r="167" spans="2:9" x14ac:dyDescent="0.35">
      <c r="B167" s="4" t="s">
        <v>116</v>
      </c>
      <c r="C167" s="4" t="s">
        <v>115</v>
      </c>
      <c r="D167" s="5" t="s">
        <v>118</v>
      </c>
      <c r="E167" s="6">
        <v>13</v>
      </c>
      <c r="F167" s="6" t="s">
        <v>0</v>
      </c>
      <c r="G167" s="6">
        <v>6.2</v>
      </c>
      <c r="H167" s="7">
        <f>E167*G167</f>
        <v>80.600000000000009</v>
      </c>
      <c r="I167" s="7" t="s">
        <v>117</v>
      </c>
    </row>
    <row r="168" spans="2:9" x14ac:dyDescent="0.35">
      <c r="B168" s="4" t="s">
        <v>116</v>
      </c>
      <c r="C168" s="4" t="s">
        <v>115</v>
      </c>
      <c r="D168" s="5" t="s">
        <v>118</v>
      </c>
      <c r="E168" s="6">
        <v>13</v>
      </c>
      <c r="F168" s="6" t="s">
        <v>0</v>
      </c>
      <c r="G168" s="6">
        <v>6.2</v>
      </c>
      <c r="H168" s="7">
        <f>E168*G168</f>
        <v>80.600000000000009</v>
      </c>
      <c r="I168" s="7" t="s">
        <v>117</v>
      </c>
    </row>
    <row r="169" spans="2:9" x14ac:dyDescent="0.35">
      <c r="B169" s="4" t="s">
        <v>116</v>
      </c>
      <c r="C169" s="4" t="s">
        <v>115</v>
      </c>
      <c r="D169" s="5" t="s">
        <v>118</v>
      </c>
      <c r="E169" s="6">
        <v>13</v>
      </c>
      <c r="F169" s="6" t="s">
        <v>0</v>
      </c>
      <c r="G169" s="6">
        <v>6.2</v>
      </c>
      <c r="H169" s="7">
        <f>E169*G169</f>
        <v>80.600000000000009</v>
      </c>
      <c r="I169" s="7" t="s">
        <v>117</v>
      </c>
    </row>
    <row r="170" spans="2:9" x14ac:dyDescent="0.35">
      <c r="B170" s="4" t="s">
        <v>116</v>
      </c>
      <c r="C170" s="4" t="s">
        <v>115</v>
      </c>
      <c r="D170" s="5" t="s">
        <v>118</v>
      </c>
      <c r="E170" s="6">
        <v>6.5</v>
      </c>
      <c r="F170" s="6" t="s">
        <v>0</v>
      </c>
      <c r="G170" s="6">
        <v>6.2</v>
      </c>
      <c r="H170" s="7">
        <f>E170*G170</f>
        <v>40.300000000000004</v>
      </c>
      <c r="I170" s="7" t="s">
        <v>117</v>
      </c>
    </row>
    <row r="171" spans="2:9" x14ac:dyDescent="0.35">
      <c r="B171" s="4" t="s">
        <v>116</v>
      </c>
      <c r="C171" s="4" t="s">
        <v>115</v>
      </c>
      <c r="D171" s="5" t="s">
        <v>118</v>
      </c>
      <c r="E171" s="6">
        <v>2.5</v>
      </c>
      <c r="F171" s="6" t="s">
        <v>0</v>
      </c>
      <c r="G171" s="6">
        <v>6.2</v>
      </c>
      <c r="H171" s="7">
        <f>E171*G171</f>
        <v>15.5</v>
      </c>
      <c r="I171" s="7" t="s">
        <v>117</v>
      </c>
    </row>
    <row r="172" spans="2:9" x14ac:dyDescent="0.35">
      <c r="B172" s="4" t="s">
        <v>116</v>
      </c>
      <c r="C172" s="4" t="s">
        <v>115</v>
      </c>
      <c r="D172" s="5" t="s">
        <v>118</v>
      </c>
      <c r="E172" s="6">
        <v>2</v>
      </c>
      <c r="F172" s="6" t="s">
        <v>0</v>
      </c>
      <c r="G172" s="6">
        <v>6.2</v>
      </c>
      <c r="H172" s="7">
        <f>E172*G172</f>
        <v>12.4</v>
      </c>
      <c r="I172" s="7" t="s">
        <v>117</v>
      </c>
    </row>
    <row r="173" spans="2:9" x14ac:dyDescent="0.35">
      <c r="B173" s="4" t="s">
        <v>116</v>
      </c>
      <c r="C173" s="4" t="s">
        <v>115</v>
      </c>
      <c r="D173" s="5" t="s">
        <v>118</v>
      </c>
      <c r="E173" s="6">
        <v>3</v>
      </c>
      <c r="F173" s="6" t="s">
        <v>0</v>
      </c>
      <c r="G173" s="6">
        <v>6.2</v>
      </c>
      <c r="H173" s="7">
        <f>E173*G173</f>
        <v>18.600000000000001</v>
      </c>
      <c r="I173" s="7" t="s">
        <v>117</v>
      </c>
    </row>
    <row r="174" spans="2:9" x14ac:dyDescent="0.35">
      <c r="B174" s="4" t="s">
        <v>116</v>
      </c>
      <c r="C174" s="4" t="s">
        <v>115</v>
      </c>
      <c r="D174" s="5" t="s">
        <v>118</v>
      </c>
      <c r="E174" s="6">
        <v>3</v>
      </c>
      <c r="F174" s="6" t="s">
        <v>0</v>
      </c>
      <c r="G174" s="6">
        <v>6.2</v>
      </c>
      <c r="H174" s="7">
        <f>E174*G174</f>
        <v>18.600000000000001</v>
      </c>
      <c r="I174" s="7" t="s">
        <v>117</v>
      </c>
    </row>
    <row r="175" spans="2:9" x14ac:dyDescent="0.35">
      <c r="B175" s="4" t="s">
        <v>211</v>
      </c>
      <c r="C175" s="4" t="s">
        <v>10</v>
      </c>
      <c r="D175" s="5" t="s">
        <v>118</v>
      </c>
      <c r="E175" s="6">
        <v>2</v>
      </c>
      <c r="F175" s="6" t="s">
        <v>11</v>
      </c>
      <c r="G175" s="6">
        <v>232</v>
      </c>
      <c r="H175" s="7">
        <f>E175*G175</f>
        <v>464</v>
      </c>
      <c r="I175" s="7" t="s">
        <v>145</v>
      </c>
    </row>
    <row r="176" spans="2:9" x14ac:dyDescent="0.35">
      <c r="B176" s="4" t="s">
        <v>200</v>
      </c>
      <c r="C176" s="4" t="s">
        <v>31</v>
      </c>
      <c r="D176" s="5" t="s">
        <v>118</v>
      </c>
      <c r="E176" s="6">
        <v>70</v>
      </c>
      <c r="F176" s="6" t="s">
        <v>2</v>
      </c>
      <c r="G176" s="6">
        <v>3.2</v>
      </c>
      <c r="H176" s="7">
        <f>G176*E176</f>
        <v>224</v>
      </c>
      <c r="I176" s="7" t="s">
        <v>145</v>
      </c>
    </row>
    <row r="177" spans="1:9" x14ac:dyDescent="0.35">
      <c r="B177" s="4" t="s">
        <v>210</v>
      </c>
      <c r="C177" s="4" t="s">
        <v>109</v>
      </c>
      <c r="D177" s="5" t="s">
        <v>118</v>
      </c>
      <c r="E177" s="6">
        <v>2</v>
      </c>
      <c r="F177" s="6" t="s">
        <v>11</v>
      </c>
      <c r="G177" s="6">
        <v>341</v>
      </c>
      <c r="H177" s="7">
        <f>G177*E177</f>
        <v>682</v>
      </c>
      <c r="I177" s="7" t="s">
        <v>145</v>
      </c>
    </row>
    <row r="178" spans="1:9" x14ac:dyDescent="0.35">
      <c r="A178" t="s">
        <v>99</v>
      </c>
    </row>
  </sheetData>
  <sortState xmlns:xlrd2="http://schemas.microsoft.com/office/spreadsheetml/2017/richdata2" ref="A3:I178">
    <sortCondition ref="C2:C178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mutheumbuta@gmail.com</dc:creator>
  <cp:lastModifiedBy>mutheumbuta@gmail.com</cp:lastModifiedBy>
  <dcterms:created xsi:type="dcterms:W3CDTF">2026-04-18T10:47:01Z</dcterms:created>
  <dcterms:modified xsi:type="dcterms:W3CDTF">2026-04-18T13:16:36Z</dcterms:modified>
</cp:coreProperties>
</file>